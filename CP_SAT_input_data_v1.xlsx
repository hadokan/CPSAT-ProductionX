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43e1215c8c43b0" /></Relationships>
</file>

<file path=xl/workbook.xml><?xml version="1.0" encoding="utf-8"?>
<x:workbook xmlns:x="http://schemas.openxmlformats.org/spreadsheetml/2006/main">
  <x:sheets>
    <x:sheet xmlns:r="http://schemas.openxmlformats.org/officeDocument/2006/relationships" name="products" sheetId="1" r:id="R7738b95dc97e4576"/>
    <x:sheet xmlns:r="http://schemas.openxmlformats.org/officeDocument/2006/relationships" name="machines" sheetId="2" r:id="R86124047ce2540ba"/>
    <x:sheet xmlns:r="http://schemas.openxmlformats.org/officeDocument/2006/relationships" name="machine_product" sheetId="3" r:id="R302e7de4003448f1"/>
    <x:sheet xmlns:r="http://schemas.openxmlformats.org/officeDocument/2006/relationships" name="targets" sheetId="4" r:id="R5e381f24b71443e1"/>
    <x:sheet xmlns:r="http://schemas.openxmlformats.org/officeDocument/2006/relationships" name="calendar" sheetId="5" r:id="R012f1423891a4e3a"/>
    <x:sheet xmlns:r="http://schemas.openxmlformats.org/officeDocument/2006/relationships" name="sequence_rules" sheetId="6" r:id="Rf2a1b5e1a0484272"/>
    <x:sheet xmlns:r="http://schemas.openxmlformats.org/officeDocument/2006/relationships" name="changeover_rules" sheetId="7" r:id="R2f08d486ddab4e1a"/>
    <x:sheet xmlns:r="http://schemas.openxmlformats.org/officeDocument/2006/relationships" name="allocation_rules" sheetId="8" r:id="Ra871fdca29bd41f6"/>
    <x:sheet xmlns:r="http://schemas.openxmlformats.org/officeDocument/2006/relationships" name="initial_state" sheetId="9" r:id="R220439b689c54957"/>
    <x:sheet xmlns:r="http://schemas.openxmlformats.org/officeDocument/2006/relationships" name="objectives" sheetId="10" r:id="R2fdb404dc5df42e0"/>
    <x:sheet xmlns:r="http://schemas.openxmlformats.org/officeDocument/2006/relationships" name="settings" sheetId="11" r:id="R7a4909a909894abd"/>
  </x:sheets>
</x:workbook>
</file>

<file path=xl/sharedStrings.xml><?xml version="1.0" encoding="utf-8"?>
<x:sst xmlns:x="http://schemas.openxmlformats.org/spreadsheetml/2006/main">
  <x:si>
    <x:t xml:space="preserve">Product_ID</x:t>
  </x:si>
  <x:si>
    <x:t xml:space="preserve">Product</x:t>
  </x:si>
  <x:si>
    <x:t xml:space="preserve">Family</x:t>
  </x:si>
  <x:si>
    <x:t xml:space="preserve">Salt_Status</x:t>
  </x:si>
  <x:si>
    <x:t xml:space="preserve">Sequence_Order</x:t>
  </x:si>
  <x:si>
    <x:t xml:space="preserve">P001</x:t>
  </x:si>
  <x:si>
    <x:t xml:space="preserve">Ayçekirdeği tuzsuz</x:t>
  </x:si>
  <x:si>
    <x:t xml:space="preserve">Ayçekirdeği</x:t>
  </x:si>
  <x:si>
    <x:t xml:space="preserve">UNSALTED</x:t>
  </x:si>
  <x:si>
    <x:t xml:space="preserve">P002</x:t>
  </x:si>
  <x:si>
    <x:t xml:space="preserve">Ayçekirdeği tuzlu</x:t>
  </x:si>
  <x:si>
    <x:t xml:space="preserve">SALTED</x:t>
  </x:si>
  <x:si>
    <x:t xml:space="preserve">P003</x:t>
  </x:si>
  <x:si>
    <x:t xml:space="preserve">Kabak Nevşehir (salamura)</x:t>
  </x:si>
  <x:si>
    <x:t xml:space="preserve">Kabak</x:t>
  </x:si>
  <x:si>
    <x:t xml:space="preserve">P004</x:t>
  </x:si>
  <x:si>
    <x:t xml:space="preserve">Kabak Kav. Tuzsuz</x:t>
  </x:si>
  <x:si>
    <x:t xml:space="preserve">P005</x:t>
  </x:si>
  <x:si>
    <x:t xml:space="preserve">Kabak Çifte Kav.</x:t>
  </x:si>
  <x:si>
    <x:t xml:space="preserve">P006</x:t>
  </x:si>
  <x:si>
    <x:t xml:space="preserve">Badem kavurma</x:t>
  </x:si>
  <x:si>
    <x:t xml:space="preserve">Badem</x:t>
  </x:si>
  <x:si>
    <x:t xml:space="preserve">NONE</x:t>
  </x:si>
  <x:si>
    <x:t xml:space="preserve">P007</x:t>
  </x:si>
  <x:si>
    <x:t xml:space="preserve">Kaju kavurma</x:t>
  </x:si>
  <x:si>
    <x:t xml:space="preserve">Kaju</x:t>
  </x:si>
  <x:si>
    <x:t xml:space="preserve">P008</x:t>
  </x:si>
  <x:si>
    <x:t xml:space="preserve">Fıstık Tuzlu Lüks</x:t>
  </x:si>
  <x:si>
    <x:t xml:space="preserve">Fıstık Lüks</x:t>
  </x:si>
  <x:si>
    <x:t xml:space="preserve">P009</x:t>
  </x:si>
  <x:si>
    <x:t xml:space="preserve">Fıstık Tuzsuz Lüks</x:t>
  </x:si>
  <x:si>
    <x:t xml:space="preserve">P010</x:t>
  </x:si>
  <x:si>
    <x:t xml:space="preserve">Fıstık Kabuklu</x:t>
  </x:si>
  <x:si>
    <x:t xml:space="preserve">Machine_ID</x:t>
  </x:si>
  <x:si>
    <x:t xml:space="preserve">Machine</x:t>
  </x:si>
  <x:si>
    <x:t xml:space="preserve">Active</x:t>
  </x:si>
  <x:si>
    <x:t xml:space="preserve">Priority</x:t>
  </x:si>
  <x:si>
    <x:t xml:space="preserve">M001</x:t>
  </x:si>
  <x:si>
    <x:t xml:space="preserve">CS1</x:t>
  </x:si>
  <x:si>
    <x:t xml:space="preserve">M002</x:t>
  </x:si>
  <x:si>
    <x:t xml:space="preserve">CS2</x:t>
  </x:si>
  <x:si>
    <x:t xml:space="preserve">M003</x:t>
  </x:si>
  <x:si>
    <x:t xml:space="preserve">EB1</x:t>
  </x:si>
  <x:si>
    <x:t xml:space="preserve">M004</x:t>
  </x:si>
  <x:si>
    <x:t xml:space="preserve">EB2</x:t>
  </x:si>
  <x:si>
    <x:t xml:space="preserve">M005</x:t>
  </x:si>
  <x:si>
    <x:t xml:space="preserve">CS3</x:t>
  </x:si>
  <x:si>
    <x:t xml:space="preserve">Allowed</x:t>
  </x:si>
  <x:si>
    <x:t xml:space="preserve">MachinePriority</x:t>
  </x:si>
  <x:si>
    <x:t xml:space="preserve">Capacity_tph</x:t>
  </x:si>
  <x:si>
    <x:t xml:space="preserve">MinRun_t</x:t>
  </x:si>
  <x:si>
    <x:t xml:space="preserve">MaxDaily_t</x:t>
  </x:si>
  <x:si>
    <x:t xml:space="preserve">Preparation_min</x:t>
  </x:si>
  <x:si>
    <x:t xml:space="preserve">Target_t</x:t>
  </x:si>
  <x:si>
    <x:t xml:space="preserve">TargetPriority</x:t>
  </x:si>
  <x:si>
    <x:t xml:space="preserve">TargetMode</x:t>
  </x:si>
  <x:si>
    <x:t xml:space="preserve">MinRequired_pct</x:t>
  </x:si>
  <x:si>
    <x:t xml:space="preserve">MinRequired_t</x:t>
  </x:si>
  <x:si>
    <x:t xml:space="preserve">SOFT</x:t>
  </x:si>
  <x:si>
    <x:t xml:space="preserve">Day</x:t>
  </x:si>
  <x:si>
    <x:t xml:space="preserve">Shift</x:t>
  </x:si>
  <x:si>
    <x:t xml:space="preserve">Available</x:t>
  </x:si>
  <x:si>
    <x:t xml:space="preserve">Hours</x:t>
  </x:si>
  <x:si>
    <x:t xml:space="preserve">Reason</x:t>
  </x:si>
  <x:si>
    <x:t xml:space="preserve">Day-1</x:t>
  </x:si>
  <x:si>
    <x:t xml:space="preserve">Normal</x:t>
  </x:si>
  <x:si>
    <x:t xml:space="preserve">Day-2</x:t>
  </x:si>
  <x:si>
    <x:t xml:space="preserve">Day-3</x:t>
  </x:si>
  <x:si>
    <x:t xml:space="preserve">Day-4</x:t>
  </x:si>
  <x:si>
    <x:t xml:space="preserve">Day-5</x:t>
  </x:si>
  <x:si>
    <x:t xml:space="preserve">General cleaning</x:t>
  </x:si>
  <x:si>
    <x:t xml:space="preserve">Day-6</x:t>
  </x:si>
  <x:si>
    <x:t xml:space="preserve">Rule_ID</x:t>
  </x:si>
  <x:si>
    <x:t xml:space="preserve">Before_Product_ID</x:t>
  </x:si>
  <x:si>
    <x:t xml:space="preserve">After_Product_ID</x:t>
  </x:si>
  <x:si>
    <x:t xml:space="preserve">Scope</x:t>
  </x:si>
  <x:si>
    <x:t xml:space="preserve">Hard</x:t>
  </x:si>
  <x:si>
    <x:t xml:space="preserve">SQ001</x:t>
  </x:si>
  <x:si>
    <x:t xml:space="preserve">SAME_MACHINE</x:t>
  </x:si>
  <x:si>
    <x:t xml:space="preserve">SQ002</x:t>
  </x:si>
  <x:si>
    <x:t xml:space="preserve">SQ003</x:t>
  </x:si>
  <x:si>
    <x:t xml:space="preserve">Max_Products_Per_Shift</x:t>
  </x:si>
  <x:si>
    <x:t xml:space="preserve">Max_Changeovers_Per_Day</x:t>
  </x:si>
  <x:si>
    <x:t xml:space="preserve">Description</x:t>
  </x:si>
  <x:si>
    <x:t xml:space="preserve">CO001</x:t>
  </x:si>
  <x:si>
    <x:t xml:space="preserve">MACHINE_DAY</x:t>
  </x:si>
  <x:si>
    <x:t xml:space="preserve">HARD: one product per machine-shift and at most one product change per machine-day. Count the transition from the last produced product, including the previous day. Attribute the change to the new product start day. Idle shifts do not reset product state. An initial setup from an empty machine consumes preparation time but is not a changeover.</x:t>
  </x:si>
  <x:si>
    <x:t xml:space="preserve">Prefer_Single_Machine</x:t>
  </x:si>
  <x:si>
    <x:t xml:space="preserve">Preferred_Max_Machines</x:t>
  </x:si>
  <x:si>
    <x:t xml:space="preserve">Allow_Split_If_Required</x:t>
  </x:si>
  <x:si>
    <x:t xml:space="preserve">Objective_ID</x:t>
  </x:si>
  <x:si>
    <x:t xml:space="preserve">AL001</x:t>
  </x:si>
  <x:si>
    <x:t xml:space="preserve">ALL_PRODUCTS</x:t>
  </x:si>
  <x:si>
    <x:t xml:space="preserve">MIN_PRODUCT_MACHINE_SPLITS</x:t>
  </x:si>
  <x:si>
    <x:t xml:space="preserve">AL003</x:t>
  </x:si>
  <x:si>
    <x:t xml:space="preserve">ALL_FAMILIES</x:t>
  </x:si>
  <x:si>
    <x:t xml:space="preserve">MIN_FAMILY_MACHINE_SPLITS</x:t>
  </x:si>
  <x:si>
    <x:t xml:space="preserve">Current_Product_ID</x:t>
  </x:si>
  <x:si>
    <x:t xml:space="preserve">Run_Produced_t</x:t>
  </x:si>
  <x:si>
    <x:t xml:space="preserve">Setup_Completed</x:t>
  </x:si>
</x:sst>
</file>

<file path=xl/styles.xml><?xml version="1.0" encoding="utf-8"?>
<x:styleSheet xmlns:x="http://schemas.openxmlformats.org/spreadsheetml/2006/main">
  <x:numFmts count="3">
    <x:numFmt numFmtId="164" formatCode="0.000"/>
    <x:numFmt numFmtId="200" formatCode="#,##0.000"/>
    <x:numFmt numFmtId="201" formatCode="0%"/>
  </x:numFmts>
  <x:fonts count="9">
    <x:font>
      <x:sz val="11"/>
      <x:color theme="1"/>
      <x:name val="Calibri"/>
      <x:family val="2"/>
      <x:scheme val="minor"/>
    </x:font>
    <x:font>
      <x:b/>
      <x:sz val="10"/>
      <x:color rgb="FF000000"/>
      <x:name val="Calibri"/>
      <x:family val="2"/>
    </x:font>
    <x:font>
      <x:sz val="10"/>
      <x:color rgb="FF000000"/>
      <x:name val="Calibri"/>
      <x:family val="2"/>
    </x:font>
    <x:font>
      <x:sz val="10"/>
      <x:color rgb="FF000000"/>
      <x:name val="Calibri"/>
      <x:family val="2"/>
    </x:font>
    <x:font>
      <x:sz val="10"/>
      <x:color rgb="FF000000"/>
      <x:name val="Calibri"/>
      <x:family val="2"/>
      <x:scheme val="minor"/>
    </x:font>
    <x:font>
      <x:b/>
      <x:sz val="10"/>
      <x:color rgb="FF000000"/>
      <x:name val="Calibri"/>
      <x:family val="2"/>
    </x:font>
    <x:font>
      <x:sz val="10"/>
      <x:color rgb="FFFF0000"/>
      <x:name val="Calibri"/>
      <x:family val="2"/>
    </x:font>
    <x:font>
      <x:sz val="10"/>
      <x:color theme="1"/>
      <x:name val="Arial"/>
      <x:family val="2"/>
      <x:scheme val="minor"/>
    </x:font>
    <x:font>
      <x:b/>
      <x:sz val="10"/>
      <x:color rgb="FFFFFFFF"/>
      <x:name val="Arial"/>
      <x:family val="2"/>
      <x:scheme val="minor"/>
    </x:font>
  </x:fonts>
  <x:fills count="5">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EAF2F8"/>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37">
    <x:xf numFmtId="0" fontId="0" fillId="0" borderId="0" xfId="0"/>
    <x:xf numFmtId="0" fontId="1" fillId="0" borderId="1" xfId="0" applyFont="1" applyBorder="1" applyAlignment="1">
      <x:alignment horizontal="left" vertical="center" wrapText="1"/>
    </x:xf>
    <x:xf numFmtId="0" fontId="2" fillId="0" borderId="1" xfId="0" applyFont="1" applyBorder="1" applyAlignment="1">
      <x:alignment horizontal="left" vertical="center"/>
    </x:xf>
    <x:xf numFmtId="0" fontId="2" fillId="0" borderId="1" xfId="0" applyFont="1" applyBorder="1" applyAlignment="1">
      <x:alignment horizontal="right" vertical="center"/>
    </x:xf>
    <x:xf numFmtId="2" fontId="2" fillId="0" borderId="1" xfId="0" applyNumberFormat="1" applyFont="1" applyBorder="1" applyAlignment="1">
      <x:alignment horizontal="right" vertical="center"/>
    </x:xf>
    <x:xf numFmtId="0" fontId="3" fillId="0" borderId="1" xfId="0" applyFont="1" applyBorder="1" applyAlignment="1">
      <x:alignment horizontal="right" vertical="center"/>
    </x:xf>
    <x:xf numFmtId="164" fontId="2" fillId="0" borderId="1" xfId="0" applyNumberFormat="1" applyFont="1" applyBorder="1" applyAlignment="1">
      <x:alignment horizontal="right" vertical="center"/>
    </x:xf>
    <x:xf numFmtId="164" fontId="4" fillId="0" borderId="1" xfId="0" applyNumberFormat="1" applyFont="1" applyBorder="1" applyAlignment="1">
      <x:alignment horizontal="right" vertical="center"/>
    </x:xf>
    <x:xf numFmtId="0" fontId="4" fillId="0" borderId="1" xfId="0" applyFont="1" applyBorder="1" applyAlignment="1">
      <x:alignment horizontal="right" vertical="center"/>
    </x:xf>
    <x:xf numFmtId="0" fontId="4" fillId="0" borderId="1" xfId="0" applyFont="1" applyBorder="1" applyAlignment="1">
      <x:alignment horizontal="left" vertical="center"/>
    </x:xf>
    <x:xf numFmtId="0" fontId="2" fillId="0" borderId="1" xfId="0" applyFont="1" applyBorder="1" applyAlignment="1">
      <x:alignment horizontal="left" vertical="center" wrapText="1"/>
    </x:xf>
    <x:xf numFmtId="0" fontId="4" fillId="0" borderId="1" xfId="0" applyFont="1" applyBorder="1" applyAlignment="1">
      <x:alignment horizontal="left" vertical="center" wrapText="1"/>
    </x:xf>
    <x:xf numFmtId="0" fontId="3" fillId="0" borderId="1" xfId="0" applyFont="1" applyBorder="1" applyAlignment="1">
      <x:alignment horizontal="left" vertical="center"/>
    </x:xf>
    <x:xf numFmtId="0" fontId="5" fillId="0" borderId="1" xfId="0" applyFont="1" applyBorder="1"/>
    <x:xf numFmtId="9" fontId="3" fillId="0" borderId="1" xfId="0" applyNumberFormat="1" applyFont="1" applyBorder="1" applyAlignment="1">
      <x:alignment horizontal="center"/>
    </x:xf>
    <x:xf numFmtId="164" fontId="3" fillId="0" borderId="1" xfId="0" applyNumberFormat="1" applyFont="1" applyBorder="1" applyAlignment="1">
      <x:alignment horizontal="right"/>
    </x:xf>
    <x:xf numFmtId="0" fontId="6" fillId="0" borderId="1" xfId="0" applyFont="1" applyBorder="1" applyAlignment="1">
      <x:alignment horizontal="left" vertical="center"/>
    </x:xf>
    <x:xf numFmtId="0" fontId="6" fillId="0" borderId="1" xfId="0" applyFont="1" applyBorder="1" applyAlignment="1">
      <x:alignment horizontal="right" vertical="center"/>
    </x:xf>
    <x:xf numFmtId="2" fontId="6" fillId="0" borderId="1" xfId="0" applyNumberFormat="1" applyFont="1" applyBorder="1" applyAlignment="1">
      <x:alignment horizontal="right" vertical="center"/>
    </x:xf>
    <x:xf numFmtId="0" fontId="7" fillId="0" borderId="0" xfId="0" applyNumberFormat="1" applyFont="1" applyFill="1" applyBorder="1"/>
    <x:xf numFmtId="0" fontId="7" fillId="2"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xf numFmtId="0"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0" fontId="7" fillId="3" borderId="0" xfId="0" applyNumberFormat="1" applyFont="1" applyFill="1" applyBorder="1" applyAlignment="1">
      <x:alignment vertical="center"/>
    </x:xf>
    <x:xf numFmtId="0" fontId="0" fillId="2" borderId="0" xfId="0" applyNumberFormat="1" applyFont="1" applyFill="1" applyBorder="1"/>
    <x:xf numFmtId="0" fontId="7" fillId="0" borderId="0" xfId="0" applyNumberFormat="1" applyFont="1" applyFill="1" applyBorder="1" applyAlignment="1">
      <x:alignment wrapText="1"/>
    </x:xf>
    <x:xf numFmtId="0" fontId="7" fillId="3" borderId="0" xfId="0" applyNumberFormat="1" applyFont="1" applyFill="1" applyBorder="1"/>
    <x:xf numFmtId="200" fontId="2" fillId="0" borderId="1" xfId="0" applyNumberFormat="1" applyFont="1" applyFill="1" applyBorder="1" applyAlignment="1">
      <x:alignment horizontal="right" vertical="center"/>
    </x:xf>
    <x:xf numFmtId="200" fontId="4" fillId="0" borderId="1" xfId="0" applyNumberFormat="1" applyFont="1" applyFill="1" applyBorder="1" applyAlignment="1">
      <x:alignment horizontal="right" vertical="center"/>
    </x:xf>
    <x:xf numFmtId="201" fontId="2" fillId="0" borderId="1" xfId="0" applyNumberFormat="1" applyFont="1" applyFill="1" applyBorder="1" applyAlignment="1">
      <x:alignment horizontal="center"/>
    </x:xf>
    <x:xf numFmtId="200" fontId="2" fillId="0" borderId="1" xfId="0" applyNumberFormat="1" applyFont="1" applyFill="1" applyBorder="1" applyAlignment="1">
      <x:alignment horizontal="right"/>
    </x:xf>
    <x:xf numFmtId="200" fontId="2" fillId="4" borderId="1" xfId="0" applyNumberFormat="1" applyFont="1" applyFill="1" applyBorder="1" applyAlignment="1">
      <x:alignment horizontal="right"/>
    </x:xf>
    <x:xf numFmtId="0" fontId="1" fillId="0" borderId="1" xfId="0" applyNumberFormat="1" applyFont="1" applyFill="1" applyBorder="1" applyAlignment="1">
      <x:alignment horizontal="left" vertical="center" wrapText="1"/>
    </x:xf>
    <x:xf numFmtId="0" fontId="1" fillId="0" borderId="1" xfId="0" applyNumberFormat="1" applyFont="1" applyFill="1" applyBorder="1" applyAlignment="1">
      <x:alignment wrapText="1"/>
    </x:xf>
    <x:xf numFmtId="0" fontId="4" fillId="0" borderId="1"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b011bae62f4cb1" /><Relationship Type="http://schemas.openxmlformats.org/officeDocument/2006/relationships/theme" Target="/xl/theme/theme1.xml" Id="Ra090c5473b104bd5" /><Relationship Type="http://schemas.openxmlformats.org/officeDocument/2006/relationships/sharedStrings" Target="/xl/sharedStrings.xml" Id="R9469bfea20b04ca7" /><Relationship Type="http://schemas.openxmlformats.org/officeDocument/2006/relationships/worksheet" Target="/xl/worksheets/sheet1.xml" Id="R7738b95dc97e4576" /><Relationship Type="http://schemas.openxmlformats.org/officeDocument/2006/relationships/worksheet" Target="/xl/worksheets/sheet2.xml" Id="R86124047ce2540ba" /><Relationship Type="http://schemas.openxmlformats.org/officeDocument/2006/relationships/worksheet" Target="/xl/worksheets/sheet3.xml" Id="R302e7de4003448f1" /><Relationship Type="http://schemas.openxmlformats.org/officeDocument/2006/relationships/worksheet" Target="/xl/worksheets/sheet4.xml" Id="R5e381f24b71443e1" /><Relationship Type="http://schemas.openxmlformats.org/officeDocument/2006/relationships/worksheet" Target="/xl/worksheets/sheet5.xml" Id="R012f1423891a4e3a" /><Relationship Type="http://schemas.openxmlformats.org/officeDocument/2006/relationships/worksheet" Target="/xl/worksheets/sheet6.xml" Id="Rf2a1b5e1a0484272" /><Relationship Type="http://schemas.openxmlformats.org/officeDocument/2006/relationships/worksheet" Target="/xl/worksheets/sheet7.xml" Id="R2f08d486ddab4e1a" /><Relationship Type="http://schemas.openxmlformats.org/officeDocument/2006/relationships/worksheet" Target="/xl/worksheets/sheet8.xml" Id="Ra871fdca29bd41f6" /><Relationship Type="http://schemas.openxmlformats.org/officeDocument/2006/relationships/worksheet" Target="/xl/worksheets/sheet9.xml" Id="R220439b689c54957" /><Relationship Type="http://schemas.openxmlformats.org/officeDocument/2006/relationships/worksheet" Target="/xl/worksheets/sheet10.xml" Id="R2fdb404dc5df42e0" /><Relationship Type="http://schemas.openxmlformats.org/officeDocument/2006/relationships/worksheet" Target="/xl/worksheets/sheet11.xml" Id="R7a4909a909894ab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5"/>
  <x:cols>
    <x:col min="2" max="2" width="34" hidden="0" customWidth="1"/>
    <x:col min="1" max="1" width="14" hidden="0" customWidth="1"/>
    <x:col min="3" max="3" width="22" hidden="0" customWidth="1"/>
    <x:col min="4" max="4" width="18" hidden="0" customWidth="1"/>
    <x:col min="5" max="5" width="19" hidden="0" customWidth="1"/>
  </x:cols>
  <x:sheetData>
    <x:row r="1" ht="30" customHeight="1">
      <x:c r="A1" s="1" t="s">
        <x:v>0</x:v>
      </x:c>
      <x:c r="B1" s="1" t="s">
        <x:v>1</x:v>
      </x:c>
      <x:c r="C1" s="1" t="s">
        <x:v>2</x:v>
      </x:c>
      <x:c r="D1" s="1" t="s">
        <x:v>3</x:v>
      </x:c>
      <x:c r="E1" s="1" t="s">
        <x:v>4</x:v>
      </x:c>
      <x:c r="F1"/>
    </x:row>
    <x:row r="2">
      <x:c r="A2" s="2" t="s">
        <x:v>5</x:v>
      </x:c>
      <x:c r="B2" s="2" t="s">
        <x:v>6</x:v>
      </x:c>
      <x:c r="C2" s="2" t="s">
        <x:v>7</x:v>
      </x:c>
      <x:c r="D2" s="2" t="s">
        <x:v>8</x:v>
      </x:c>
      <x:c r="E2" s="3">
        <x:v>1</x:v>
      </x:c>
      <x:c r="F2"/>
    </x:row>
    <x:row r="3">
      <x:c r="A3" s="2" t="s">
        <x:v>9</x:v>
      </x:c>
      <x:c r="B3" s="2" t="s">
        <x:v>10</x:v>
      </x:c>
      <x:c r="C3" s="2" t="s">
        <x:v>7</x:v>
      </x:c>
      <x:c r="D3" s="2" t="s">
        <x:v>11</x:v>
      </x:c>
      <x:c r="E3" s="3">
        <x:v>2</x:v>
      </x:c>
      <x:c r="F3"/>
    </x:row>
    <x:row r="4">
      <x:c r="A4" s="2" t="s">
        <x:v>12</x:v>
      </x:c>
      <x:c r="B4" s="2" t="s">
        <x:v>13</x:v>
      </x:c>
      <x:c r="C4" s="2" t="s">
        <x:v>14</x:v>
      </x:c>
      <x:c r="D4" s="2" t="s">
        <x:v>11</x:v>
      </x:c>
      <x:c r="E4" s="3">
        <x:v>2</x:v>
      </x:c>
      <x:c r="F4"/>
    </x:row>
    <x:row r="5">
      <x:c r="A5" s="2" t="s">
        <x:v>15</x:v>
      </x:c>
      <x:c r="B5" s="2" t="s">
        <x:v>16</x:v>
      </x:c>
      <x:c r="C5" s="2" t="s">
        <x:v>14</x:v>
      </x:c>
      <x:c r="D5" s="2" t="s">
        <x:v>8</x:v>
      </x:c>
      <x:c r="E5" s="3">
        <x:v>1</x:v>
      </x:c>
      <x:c r="F5"/>
    </x:row>
    <x:row r="6">
      <x:c r="A6" s="2" t="s">
        <x:v>17</x:v>
      </x:c>
      <x:c r="B6" s="2" t="s">
        <x:v>18</x:v>
      </x:c>
      <x:c r="C6" s="2" t="s">
        <x:v>14</x:v>
      </x:c>
      <x:c r="D6" s="2" t="s">
        <x:v>11</x:v>
      </x:c>
      <x:c r="E6" s="3">
        <x:v>2</x:v>
      </x:c>
      <x:c r="F6"/>
    </x:row>
    <x:row r="7">
      <x:c r="A7" s="2" t="s">
        <x:v>19</x:v>
      </x:c>
      <x:c r="B7" s="2" t="s">
        <x:v>20</x:v>
      </x:c>
      <x:c r="C7" s="2" t="s">
        <x:v>21</x:v>
      </x:c>
      <x:c r="D7" s="2" t="s">
        <x:v>22</x:v>
      </x:c>
      <x:c r="E7" s="3">
        <x:v>1</x:v>
      </x:c>
      <x:c r="F7"/>
    </x:row>
    <x:row r="8">
      <x:c r="A8" s="2" t="s">
        <x:v>23</x:v>
      </x:c>
      <x:c r="B8" s="2" t="s">
        <x:v>24</x:v>
      </x:c>
      <x:c r="C8" s="2" t="s">
        <x:v>25</x:v>
      </x:c>
      <x:c r="D8" s="2" t="s">
        <x:v>22</x:v>
      </x:c>
      <x:c r="E8" s="3">
        <x:v>1</x:v>
      </x:c>
      <x:c r="F8"/>
    </x:row>
    <x:row r="9">
      <x:c r="A9" s="2" t="s">
        <x:v>26</x:v>
      </x:c>
      <x:c r="B9" s="2" t="s">
        <x:v>27</x:v>
      </x:c>
      <x:c r="C9" s="2" t="s">
        <x:v>28</x:v>
      </x:c>
      <x:c r="D9" s="2" t="s">
        <x:v>11</x:v>
      </x:c>
      <x:c r="E9" s="3">
        <x:v>2</x:v>
      </x:c>
      <x:c r="F9"/>
    </x:row>
    <x:row r="10">
      <x:c r="A10" s="2" t="s">
        <x:v>29</x:v>
      </x:c>
      <x:c r="B10" s="2" t="s">
        <x:v>30</x:v>
      </x:c>
      <x:c r="C10" s="2" t="s">
        <x:v>28</x:v>
      </x:c>
      <x:c r="D10" s="2" t="s">
        <x:v>8</x:v>
      </x:c>
      <x:c r="E10" s="3">
        <x:v>1</x:v>
      </x:c>
      <x:c r="F10"/>
    </x:row>
    <x:row r="11">
      <x:c r="A11" s="2" t="s">
        <x:v>31</x:v>
      </x:c>
      <x:c r="B11" s="2" t="s">
        <x:v>32</x:v>
      </x:c>
      <x:c r="C11" s="2" t="s">
        <x:v>32</x:v>
      </x:c>
      <x:c r="D11" s="2" t="s">
        <x:v>22</x:v>
      </x:c>
      <x:c r="E11" s="3">
        <x:v>1</x:v>
      </x:c>
      <x:c r="F11"/>
    </x:row>
  </x:sheetData>
  <x:pageMargins left="0.7" right="0.7" top="0.75" bottom="0.75" header="0.3" footer="0.3"/>
</x:worksheet>
</file>

<file path=xl/worksheets/sheet2.xml><?xml version="1.0" encoding="utf-8"?>
<x:worksheet xmlns:x="http://schemas.openxmlformats.org/spreadsheetml/2006/main">
  <x:sheetFormatPr defaultRowHeight="14.5"/>
  <x:sheetData>
    <x:row r="1" ht="26">
      <x:c r="A1" s="1" t="s">
        <x:v>33</x:v>
      </x:c>
      <x:c r="B1" s="1" t="s">
        <x:v>34</x:v>
      </x:c>
      <x:c r="C1" s="1" t="s">
        <x:v>35</x:v>
      </x:c>
      <x:c r="D1" s="1" t="s">
        <x:v>36</x:v>
      </x:c>
    </x:row>
    <x:row r="2">
      <x:c r="A2" s="2" t="s">
        <x:v>37</x:v>
      </x:c>
      <x:c r="B2" s="2" t="s">
        <x:v>38</x:v>
      </x:c>
      <x:c r="C2" s="3">
        <x:v>1</x:v>
      </x:c>
      <x:c r="D2" s="3">
        <x:v>1</x:v>
      </x:c>
    </x:row>
    <x:row r="3">
      <x:c r="A3" s="2" t="s">
        <x:v>39</x:v>
      </x:c>
      <x:c r="B3" s="2" t="s">
        <x:v>40</x:v>
      </x:c>
      <x:c r="C3" s="3">
        <x:v>1</x:v>
      </x:c>
      <x:c r="D3" s="3">
        <x:v>2</x:v>
      </x:c>
    </x:row>
    <x:row r="4">
      <x:c r="A4" s="2" t="s">
        <x:v>41</x:v>
      </x:c>
      <x:c r="B4" s="2" t="s">
        <x:v>42</x:v>
      </x:c>
      <x:c r="C4" s="3">
        <x:v>1</x:v>
      </x:c>
      <x:c r="D4" s="3">
        <x:v>1</x:v>
      </x:c>
    </x:row>
    <x:row r="5">
      <x:c r="A5" s="2" t="s">
        <x:v>43</x:v>
      </x:c>
      <x:c r="B5" s="2" t="s">
        <x:v>44</x:v>
      </x:c>
      <x:c r="C5" s="3">
        <x:v>1</x:v>
      </x:c>
      <x:c r="D5" s="3">
        <x:v>2</x:v>
      </x:c>
    </x:row>
    <x:row r="6">
      <x:c r="A6" s="2" t="s">
        <x:v>45</x:v>
      </x:c>
      <x:c r="B6" s="2" t="s">
        <x:v>46</x:v>
      </x:c>
      <x:c r="C6" s="3">
        <x:v>1</x:v>
      </x:c>
      <x:c r="D6" s="3">
        <x:v>1</x:v>
      </x:c>
    </x:row>
  </x:sheetData>
  <x:pageMargins left="0.7" right="0.7" top="0.75" bottom="0.75" header="0.3" footer="0.3"/>
</x:worksheet>
</file>

<file path=xl/worksheets/sheet3.xml><?xml version="1.0" encoding="utf-8"?>
<x:worksheet xmlns:x="http://schemas.openxmlformats.org/spreadsheetml/2006/main">
  <x:sheetFormatPr defaultRowHeight="14.5"/>
  <x:sheetData>
    <x:row r="1" ht="26">
      <x:c r="A1" s="1" t="s">
        <x:v>33</x:v>
      </x:c>
      <x:c r="B1" s="1" t="s">
        <x:v>0</x:v>
      </x:c>
      <x:c r="C1" s="1" t="s">
        <x:v>47</x:v>
      </x:c>
      <x:c r="D1" s="1" t="s">
        <x:v>48</x:v>
      </x:c>
      <x:c r="E1" s="1" t="s">
        <x:v>49</x:v>
      </x:c>
      <x:c r="F1" s="1" t="s">
        <x:v>50</x:v>
      </x:c>
      <x:c r="G1" s="1" t="s">
        <x:v>51</x:v>
      </x:c>
      <x:c r="H1" s="1" t="s">
        <x:v>52</x:v>
      </x:c>
    </x:row>
    <x:row r="2">
      <x:c r="A2" s="2" t="s">
        <x:v>37</x:v>
      </x:c>
      <x:c r="B2" s="2" t="s">
        <x:v>5</x:v>
      </x:c>
      <x:c r="C2" s="3">
        <x:v>1</x:v>
      </x:c>
      <x:c r="D2" s="3">
        <x:v>1</x:v>
      </x:c>
      <x:c r="E2" s="4">
        <x:v>1.5</x:v>
      </x:c>
      <x:c r="F2" s="3" t="n">
        <x:f t="shared" ref="F2:F33" si="0">E2*3</x:f>
        <x:v>4.5</x:v>
      </x:c>
      <x:c r="G2" s="3" t="n">
        <x:f t="shared" ref="G2:G33" si="1">E2*8</x:f>
        <x:v>12</x:v>
      </x:c>
      <x:c r="H2" s="5">
        <x:v>40</x:v>
      </x:c>
    </x:row>
    <x:row r="3">
      <x:c r="A3" s="2" t="s">
        <x:v>37</x:v>
      </x:c>
      <x:c r="B3" s="2" t="s">
        <x:v>9</x:v>
      </x:c>
      <x:c r="C3" s="3">
        <x:v>1</x:v>
      </x:c>
      <x:c r="D3" s="3">
        <x:v>1</x:v>
      </x:c>
      <x:c r="E3" s="4">
        <x:v>1.75</x:v>
      </x:c>
      <x:c r="F3" s="3">
        <x:f t="shared" si="0"/>
        <x:v>5.25</x:v>
      </x:c>
      <x:c r="G3" s="3">
        <x:f t="shared" si="1"/>
        <x:v>14</x:v>
      </x:c>
      <x:c r="H3" s="5">
        <x:v>40</x:v>
      </x:c>
    </x:row>
    <x:row r="4">
      <x:c r="A4" s="2" t="s">
        <x:v>37</x:v>
      </x:c>
      <x:c r="B4" s="2" t="s">
        <x:v>12</x:v>
      </x:c>
      <x:c r="C4" s="3">
        <x:v>0</x:v>
      </x:c>
      <x:c r="D4" s="2"/>
      <x:c r="E4" s="3">
        <x:v>0</x:v>
      </x:c>
      <x:c r="F4" s="3">
        <x:f t="shared" si="0"/>
        <x:v>0</x:v>
      </x:c>
      <x:c r="G4" s="3">
        <x:f t="shared" si="1"/>
        <x:v>0</x:v>
      </x:c>
      <x:c r="H4" s="5">
        <x:v>40</x:v>
      </x:c>
    </x:row>
    <x:row r="5">
      <x:c r="A5" s="2" t="s">
        <x:v>37</x:v>
      </x:c>
      <x:c r="B5" s="16" t="s">
        <x:v>15</x:v>
      </x:c>
      <x:c r="C5" s="17">
        <x:v>1</x:v>
      </x:c>
      <x:c r="D5" s="17">
        <x:v>1</x:v>
      </x:c>
      <x:c r="E5" s="18">
        <x:v>1.2</x:v>
      </x:c>
      <x:c r="F5" s="3">
        <x:f t="shared" si="0"/>
        <x:v>3.5999999999999996</x:v>
      </x:c>
      <x:c r="G5" s="3">
        <x:f t="shared" si="1"/>
        <x:v>9.6</x:v>
      </x:c>
      <x:c r="H5" s="5">
        <x:v>40</x:v>
      </x:c>
    </x:row>
    <x:row r="6">
      <x:c r="A6" s="2" t="s">
        <x:v>37</x:v>
      </x:c>
      <x:c r="B6" s="2" t="s">
        <x:v>17</x:v>
      </x:c>
      <x:c r="C6" s="3">
        <x:v>1</x:v>
      </x:c>
      <x:c r="D6" s="3">
        <x:v>1</x:v>
      </x:c>
      <x:c r="E6" s="4">
        <x:v>1.5</x:v>
      </x:c>
      <x:c r="F6" s="3">
        <x:f t="shared" si="0"/>
        <x:v>4.5</x:v>
      </x:c>
      <x:c r="G6" s="3">
        <x:f t="shared" si="1"/>
        <x:v>12</x:v>
      </x:c>
      <x:c r="H6" s="5">
        <x:v>40</x:v>
      </x:c>
    </x:row>
    <x:row r="7">
      <x:c r="A7" s="2" t="s">
        <x:v>37</x:v>
      </x:c>
      <x:c r="B7" s="2" t="s">
        <x:v>19</x:v>
      </x:c>
      <x:c r="C7" s="3">
        <x:v>0</x:v>
      </x:c>
      <x:c r="D7" s="2"/>
      <x:c r="E7" s="3">
        <x:v>0</x:v>
      </x:c>
      <x:c r="F7" s="3">
        <x:f t="shared" si="0"/>
        <x:v>0</x:v>
      </x:c>
      <x:c r="G7" s="3">
        <x:f t="shared" si="1"/>
        <x:v>0</x:v>
      </x:c>
      <x:c r="H7" s="5">
        <x:v>40</x:v>
      </x:c>
    </x:row>
    <x:row r="8">
      <x:c r="A8" s="2" t="s">
        <x:v>37</x:v>
      </x:c>
      <x:c r="B8" s="2" t="s">
        <x:v>23</x:v>
      </x:c>
      <x:c r="C8" s="3">
        <x:v>0</x:v>
      </x:c>
      <x:c r="D8" s="2"/>
      <x:c r="E8" s="3">
        <x:v>0</x:v>
      </x:c>
      <x:c r="F8" s="3">
        <x:f t="shared" si="0"/>
        <x:v>0</x:v>
      </x:c>
      <x:c r="G8" s="3">
        <x:f t="shared" si="1"/>
        <x:v>0</x:v>
      </x:c>
      <x:c r="H8" s="5">
        <x:v>40</x:v>
      </x:c>
    </x:row>
    <x:row r="9">
      <x:c r="A9" s="2" t="s">
        <x:v>37</x:v>
      </x:c>
      <x:c r="B9" s="2" t="s">
        <x:v>26</x:v>
      </x:c>
      <x:c r="C9" s="3">
        <x:v>1</x:v>
      </x:c>
      <x:c r="D9" s="3">
        <x:v>1</x:v>
      </x:c>
      <x:c r="E9" s="4">
        <x:v>1.8</x:v>
      </x:c>
      <x:c r="F9" s="3">
        <x:f t="shared" si="0"/>
        <x:v>5.4</x:v>
      </x:c>
      <x:c r="G9" s="3">
        <x:f t="shared" si="1"/>
        <x:v>14.4</x:v>
      </x:c>
      <x:c r="H9" s="5">
        <x:v>40</x:v>
      </x:c>
    </x:row>
    <x:row r="10">
      <x:c r="A10" s="2" t="s">
        <x:v>37</x:v>
      </x:c>
      <x:c r="B10" s="2" t="s">
        <x:v>29</x:v>
      </x:c>
      <x:c r="C10" s="3">
        <x:v>1</x:v>
      </x:c>
      <x:c r="D10" s="3">
        <x:v>1</x:v>
      </x:c>
      <x:c r="E10" s="4">
        <x:v>1.6</x:v>
      </x:c>
      <x:c r="F10" s="3">
        <x:f t="shared" si="0"/>
        <x:v>4.8000000000000007</x:v>
      </x:c>
      <x:c r="G10" s="3">
        <x:f t="shared" si="1"/>
        <x:v>12.8</x:v>
      </x:c>
      <x:c r="H10" s="5">
        <x:v>40</x:v>
      </x:c>
    </x:row>
    <x:row r="11">
      <x:c r="A11" s="2" t="s">
        <x:v>37</x:v>
      </x:c>
      <x:c r="B11" s="2" t="s">
        <x:v>31</x:v>
      </x:c>
      <x:c r="C11" s="3">
        <x:v>1</x:v>
      </x:c>
      <x:c r="D11" s="3">
        <x:v>2</x:v>
      </x:c>
      <x:c r="E11" s="4">
        <x:v>1.5</x:v>
      </x:c>
      <x:c r="F11" s="3">
        <x:f t="shared" si="0"/>
        <x:v>4.5</x:v>
      </x:c>
      <x:c r="G11" s="3">
        <x:f t="shared" si="1"/>
        <x:v>12</x:v>
      </x:c>
      <x:c r="H11" s="5">
        <x:v>40</x:v>
      </x:c>
    </x:row>
    <x:row r="12">
      <x:c r="A12" s="2" t="s">
        <x:v>39</x:v>
      </x:c>
      <x:c r="B12" s="2" t="s">
        <x:v>5</x:v>
      </x:c>
      <x:c r="C12" s="3">
        <x:v>1</x:v>
      </x:c>
      <x:c r="D12" s="3">
        <x:v>2</x:v>
      </x:c>
      <x:c r="E12" s="4">
        <x:v>1.5</x:v>
      </x:c>
      <x:c r="F12" s="3">
        <x:f t="shared" si="0"/>
        <x:v>4.5</x:v>
      </x:c>
      <x:c r="G12" s="3">
        <x:f t="shared" si="1"/>
        <x:v>12</x:v>
      </x:c>
      <x:c r="H12" s="5">
        <x:v>40</x:v>
      </x:c>
    </x:row>
    <x:row r="13">
      <x:c r="A13" s="2" t="s">
        <x:v>39</x:v>
      </x:c>
      <x:c r="B13" s="2" t="s">
        <x:v>9</x:v>
      </x:c>
      <x:c r="C13" s="3">
        <x:v>1</x:v>
      </x:c>
      <x:c r="D13" s="3">
        <x:v>2</x:v>
      </x:c>
      <x:c r="E13" s="4">
        <x:v>1.75</x:v>
      </x:c>
      <x:c r="F13" s="3">
        <x:f t="shared" si="0"/>
        <x:v>5.25</x:v>
      </x:c>
      <x:c r="G13" s="3">
        <x:f t="shared" si="1"/>
        <x:v>14</x:v>
      </x:c>
      <x:c r="H13" s="5">
        <x:v>40</x:v>
      </x:c>
    </x:row>
    <x:row r="14">
      <x:c r="A14" s="2" t="s">
        <x:v>39</x:v>
      </x:c>
      <x:c r="B14" s="2" t="s">
        <x:v>12</x:v>
      </x:c>
      <x:c r="C14" s="3">
        <x:v>0</x:v>
      </x:c>
      <x:c r="D14" s="2"/>
      <x:c r="E14" s="3">
        <x:v>0</x:v>
      </x:c>
      <x:c r="F14" s="3">
        <x:f t="shared" si="0"/>
        <x:v>0</x:v>
      </x:c>
      <x:c r="G14" s="3">
        <x:f t="shared" si="1"/>
        <x:v>0</x:v>
      </x:c>
      <x:c r="H14" s="5">
        <x:v>40</x:v>
      </x:c>
    </x:row>
    <x:row r="15">
      <x:c r="A15" s="2" t="s">
        <x:v>39</x:v>
      </x:c>
      <x:c r="B15" s="2" t="s">
        <x:v>15</x:v>
      </x:c>
      <x:c r="C15" s="3">
        <x:v>1</x:v>
      </x:c>
      <x:c r="D15" s="3">
        <x:v>3</x:v>
      </x:c>
      <x:c r="E15" s="4">
        <x:v>1.2</x:v>
      </x:c>
      <x:c r="F15" s="3">
        <x:f t="shared" si="0"/>
        <x:v>3.5999999999999996</x:v>
      </x:c>
      <x:c r="G15" s="3">
        <x:f t="shared" si="1"/>
        <x:v>9.6</x:v>
      </x:c>
      <x:c r="H15" s="5">
        <x:v>40</x:v>
      </x:c>
    </x:row>
    <x:row r="16">
      <x:c r="A16" s="2" t="s">
        <x:v>39</x:v>
      </x:c>
      <x:c r="B16" s="2" t="s">
        <x:v>17</x:v>
      </x:c>
      <x:c r="C16" s="3">
        <x:v>1</x:v>
      </x:c>
      <x:c r="D16" s="3">
        <x:v>3</x:v>
      </x:c>
      <x:c r="E16" s="4">
        <x:v>1.5</x:v>
      </x:c>
      <x:c r="F16" s="3">
        <x:f t="shared" si="0"/>
        <x:v>4.5</x:v>
      </x:c>
      <x:c r="G16" s="3">
        <x:f t="shared" si="1"/>
        <x:v>12</x:v>
      </x:c>
      <x:c r="H16" s="5">
        <x:v>40</x:v>
      </x:c>
    </x:row>
    <x:row r="17">
      <x:c r="A17" s="2" t="s">
        <x:v>39</x:v>
      </x:c>
      <x:c r="B17" s="2" t="s">
        <x:v>19</x:v>
      </x:c>
      <x:c r="C17" s="3">
        <x:v>0</x:v>
      </x:c>
      <x:c r="D17" s="2"/>
      <x:c r="E17" s="3">
        <x:v>0</x:v>
      </x:c>
      <x:c r="F17" s="3">
        <x:f t="shared" si="0"/>
        <x:v>0</x:v>
      </x:c>
      <x:c r="G17" s="3">
        <x:f t="shared" si="1"/>
        <x:v>0</x:v>
      </x:c>
      <x:c r="H17" s="5">
        <x:v>40</x:v>
      </x:c>
    </x:row>
    <x:row r="18">
      <x:c r="A18" s="2" t="s">
        <x:v>39</x:v>
      </x:c>
      <x:c r="B18" s="2" t="s">
        <x:v>23</x:v>
      </x:c>
      <x:c r="C18" s="3">
        <x:v>0</x:v>
      </x:c>
      <x:c r="D18" s="2"/>
      <x:c r="E18" s="3">
        <x:v>0</x:v>
      </x:c>
      <x:c r="F18" s="3">
        <x:f t="shared" si="0"/>
        <x:v>0</x:v>
      </x:c>
      <x:c r="G18" s="3">
        <x:f t="shared" si="1"/>
        <x:v>0</x:v>
      </x:c>
      <x:c r="H18" s="5">
        <x:v>40</x:v>
      </x:c>
    </x:row>
    <x:row r="19">
      <x:c r="A19" s="2" t="s">
        <x:v>39</x:v>
      </x:c>
      <x:c r="B19" s="2" t="s">
        <x:v>26</x:v>
      </x:c>
      <x:c r="C19" s="3">
        <x:v>1</x:v>
      </x:c>
      <x:c r="D19" s="3">
        <x:v>2</x:v>
      </x:c>
      <x:c r="E19" s="4">
        <x:v>1.8</x:v>
      </x:c>
      <x:c r="F19" s="3">
        <x:f t="shared" si="0"/>
        <x:v>5.4</x:v>
      </x:c>
      <x:c r="G19" s="3">
        <x:f t="shared" si="1"/>
        <x:v>14.4</x:v>
      </x:c>
      <x:c r="H19" s="5">
        <x:v>40</x:v>
      </x:c>
    </x:row>
    <x:row r="20">
      <x:c r="A20" s="2" t="s">
        <x:v>39</x:v>
      </x:c>
      <x:c r="B20" s="2" t="s">
        <x:v>29</x:v>
      </x:c>
      <x:c r="C20" s="3">
        <x:v>1</x:v>
      </x:c>
      <x:c r="D20" s="3">
        <x:v>2</x:v>
      </x:c>
      <x:c r="E20" s="4">
        <x:v>1.6</x:v>
      </x:c>
      <x:c r="F20" s="3">
        <x:f t="shared" si="0"/>
        <x:v>4.8000000000000007</x:v>
      </x:c>
      <x:c r="G20" s="3">
        <x:f t="shared" si="1"/>
        <x:v>12.8</x:v>
      </x:c>
      <x:c r="H20" s="5">
        <x:v>40</x:v>
      </x:c>
    </x:row>
    <x:row r="21">
      <x:c r="A21" s="2" t="s">
        <x:v>39</x:v>
      </x:c>
      <x:c r="B21" s="2" t="s">
        <x:v>31</x:v>
      </x:c>
      <x:c r="C21" s="3">
        <x:v>1</x:v>
      </x:c>
      <x:c r="D21" s="3">
        <x:v>3</x:v>
      </x:c>
      <x:c r="E21" s="4">
        <x:v>1.5</x:v>
      </x:c>
      <x:c r="F21" s="3">
        <x:f t="shared" si="0"/>
        <x:v>4.5</x:v>
      </x:c>
      <x:c r="G21" s="3">
        <x:f t="shared" si="1"/>
        <x:v>12</x:v>
      </x:c>
      <x:c r="H21" s="5">
        <x:v>40</x:v>
      </x:c>
    </x:row>
    <x:row r="22">
      <x:c r="A22" s="2" t="s">
        <x:v>41</x:v>
      </x:c>
      <x:c r="B22" s="2" t="s">
        <x:v>5</x:v>
      </x:c>
      <x:c r="C22" s="3">
        <x:v>0</x:v>
      </x:c>
      <x:c r="D22" s="2"/>
      <x:c r="E22" s="3">
        <x:v>0</x:v>
      </x:c>
      <x:c r="F22" s="3">
        <x:f t="shared" si="0"/>
        <x:v>0</x:v>
      </x:c>
      <x:c r="G22" s="3">
        <x:f t="shared" si="1"/>
        <x:v>0</x:v>
      </x:c>
      <x:c r="H22" s="5">
        <x:v>40</x:v>
      </x:c>
    </x:row>
    <x:row r="23">
      <x:c r="A23" s="2" t="s">
        <x:v>41</x:v>
      </x:c>
      <x:c r="B23" s="2" t="s">
        <x:v>9</x:v>
      </x:c>
      <x:c r="C23" s="3">
        <x:v>0</x:v>
      </x:c>
      <x:c r="D23" s="2"/>
      <x:c r="E23" s="3">
        <x:v>0</x:v>
      </x:c>
      <x:c r="F23" s="3">
        <x:f t="shared" si="0"/>
        <x:v>0</x:v>
      </x:c>
      <x:c r="G23" s="3">
        <x:f t="shared" si="1"/>
        <x:v>0</x:v>
      </x:c>
      <x:c r="H23" s="5">
        <x:v>40</x:v>
      </x:c>
    </x:row>
    <x:row r="24">
      <x:c r="A24" s="2" t="s">
        <x:v>41</x:v>
      </x:c>
      <x:c r="B24" s="2" t="s">
        <x:v>12</x:v>
      </x:c>
      <x:c r="C24" s="3">
        <x:v>1</x:v>
      </x:c>
      <x:c r="D24" s="3">
        <x:v>1</x:v>
      </x:c>
      <x:c r="E24" s="4">
        <x:v>0.35</x:v>
      </x:c>
      <x:c r="F24" s="3">
        <x:f t="shared" si="0"/>
        <x:v>1.0499999999999998</x:v>
      </x:c>
      <x:c r="G24" s="3">
        <x:f t="shared" si="1"/>
        <x:v>2.8</x:v>
      </x:c>
      <x:c r="H24" s="5">
        <x:v>40</x:v>
      </x:c>
    </x:row>
    <x:row r="25">
      <x:c r="A25" s="2" t="s">
        <x:v>41</x:v>
      </x:c>
      <x:c r="B25" s="2" t="s">
        <x:v>15</x:v>
      </x:c>
      <x:c r="C25" s="3">
        <x:v>0</x:v>
      </x:c>
      <x:c r="D25" s="2"/>
      <x:c r="E25" s="3">
        <x:v>0</x:v>
      </x:c>
      <x:c r="F25" s="3">
        <x:f t="shared" si="0"/>
        <x:v>0</x:v>
      </x:c>
      <x:c r="G25" s="3">
        <x:f t="shared" si="1"/>
        <x:v>0</x:v>
      </x:c>
      <x:c r="H25" s="5">
        <x:v>40</x:v>
      </x:c>
    </x:row>
    <x:row r="26">
      <x:c r="A26" s="2" t="s">
        <x:v>41</x:v>
      </x:c>
      <x:c r="B26" s="2" t="s">
        <x:v>17</x:v>
      </x:c>
      <x:c r="C26" s="3">
        <x:v>0</x:v>
      </x:c>
      <x:c r="D26" s="2"/>
      <x:c r="E26" s="3">
        <x:v>0</x:v>
      </x:c>
      <x:c r="F26" s="3">
        <x:f t="shared" si="0"/>
        <x:v>0</x:v>
      </x:c>
      <x:c r="G26" s="3">
        <x:f t="shared" si="1"/>
        <x:v>0</x:v>
      </x:c>
      <x:c r="H26" s="5">
        <x:v>40</x:v>
      </x:c>
    </x:row>
    <x:row r="27">
      <x:c r="A27" s="2" t="s">
        <x:v>41</x:v>
      </x:c>
      <x:c r="B27" s="2" t="s">
        <x:v>19</x:v>
      </x:c>
      <x:c r="C27" s="3">
        <x:v>0</x:v>
      </x:c>
      <x:c r="D27" s="2"/>
      <x:c r="E27" s="3">
        <x:v>0</x:v>
      </x:c>
      <x:c r="F27" s="3">
        <x:f t="shared" si="0"/>
        <x:v>0</x:v>
      </x:c>
      <x:c r="G27" s="3">
        <x:f t="shared" si="1"/>
        <x:v>0</x:v>
      </x:c>
      <x:c r="H27" s="5">
        <x:v>40</x:v>
      </x:c>
    </x:row>
    <x:row r="28">
      <x:c r="A28" s="2" t="s">
        <x:v>41</x:v>
      </x:c>
      <x:c r="B28" s="2" t="s">
        <x:v>23</x:v>
      </x:c>
      <x:c r="C28" s="3">
        <x:v>0</x:v>
      </x:c>
      <x:c r="D28" s="2"/>
      <x:c r="E28" s="3">
        <x:v>0</x:v>
      </x:c>
      <x:c r="F28" s="3">
        <x:f t="shared" si="0"/>
        <x:v>0</x:v>
      </x:c>
      <x:c r="G28" s="3">
        <x:f t="shared" si="1"/>
        <x:v>0</x:v>
      </x:c>
      <x:c r="H28" s="5">
        <x:v>40</x:v>
      </x:c>
    </x:row>
    <x:row r="29">
      <x:c r="A29" s="2" t="s">
        <x:v>41</x:v>
      </x:c>
      <x:c r="B29" s="2" t="s">
        <x:v>26</x:v>
      </x:c>
      <x:c r="C29" s="3">
        <x:v>0</x:v>
      </x:c>
      <x:c r="D29" s="2"/>
      <x:c r="E29" s="3">
        <x:v>0</x:v>
      </x:c>
      <x:c r="F29" s="3">
        <x:f t="shared" si="0"/>
        <x:v>0</x:v>
      </x:c>
      <x:c r="G29" s="3">
        <x:f t="shared" si="1"/>
        <x:v>0</x:v>
      </x:c>
      <x:c r="H29" s="5">
        <x:v>40</x:v>
      </x:c>
    </x:row>
    <x:row r="30">
      <x:c r="A30" s="2" t="s">
        <x:v>41</x:v>
      </x:c>
      <x:c r="B30" s="2" t="s">
        <x:v>29</x:v>
      </x:c>
      <x:c r="C30" s="3">
        <x:v>0</x:v>
      </x:c>
      <x:c r="D30" s="2"/>
      <x:c r="E30" s="3">
        <x:v>0</x:v>
      </x:c>
      <x:c r="F30" s="3">
        <x:f t="shared" si="0"/>
        <x:v>0</x:v>
      </x:c>
      <x:c r="G30" s="3">
        <x:f t="shared" si="1"/>
        <x:v>0</x:v>
      </x:c>
      <x:c r="H30" s="5">
        <x:v>40</x:v>
      </x:c>
    </x:row>
    <x:row r="31">
      <x:c r="A31" s="2" t="s">
        <x:v>41</x:v>
      </x:c>
      <x:c r="B31" s="2" t="s">
        <x:v>31</x:v>
      </x:c>
      <x:c r="C31" s="3">
        <x:v>0</x:v>
      </x:c>
      <x:c r="D31" s="2"/>
      <x:c r="E31" s="3">
        <x:v>0</x:v>
      </x:c>
      <x:c r="F31" s="3">
        <x:f t="shared" si="0"/>
        <x:v>0</x:v>
      </x:c>
      <x:c r="G31" s="3">
        <x:f t="shared" si="1"/>
        <x:v>0</x:v>
      </x:c>
      <x:c r="H31" s="5">
        <x:v>40</x:v>
      </x:c>
    </x:row>
    <x:row r="32">
      <x:c r="A32" s="2" t="s">
        <x:v>43</x:v>
      </x:c>
      <x:c r="B32" s="2" t="s">
        <x:v>5</x:v>
      </x:c>
      <x:c r="C32" s="3">
        <x:v>0</x:v>
      </x:c>
      <x:c r="D32" s="2"/>
      <x:c r="E32" s="3">
        <x:v>0</x:v>
      </x:c>
      <x:c r="F32" s="3">
        <x:f t="shared" si="0"/>
        <x:v>0</x:v>
      </x:c>
      <x:c r="G32" s="3">
        <x:f t="shared" si="1"/>
        <x:v>0</x:v>
      </x:c>
      <x:c r="H32" s="5">
        <x:v>40</x:v>
      </x:c>
    </x:row>
    <x:row r="33">
      <x:c r="A33" s="2" t="s">
        <x:v>43</x:v>
      </x:c>
      <x:c r="B33" s="2" t="s">
        <x:v>9</x:v>
      </x:c>
      <x:c r="C33" s="3">
        <x:v>0</x:v>
      </x:c>
      <x:c r="D33" s="2"/>
      <x:c r="E33" s="3">
        <x:v>0</x:v>
      </x:c>
      <x:c r="F33" s="3">
        <x:f t="shared" si="0"/>
        <x:v>0</x:v>
      </x:c>
      <x:c r="G33" s="3">
        <x:f t="shared" si="1"/>
        <x:v>0</x:v>
      </x:c>
      <x:c r="H33" s="5">
        <x:v>40</x:v>
      </x:c>
    </x:row>
    <x:row r="34">
      <x:c r="A34" s="2" t="s">
        <x:v>43</x:v>
      </x:c>
      <x:c r="B34" s="2" t="s">
        <x:v>12</x:v>
      </x:c>
      <x:c r="C34" s="3">
        <x:v>1</x:v>
      </x:c>
      <x:c r="D34" s="3">
        <x:v>2</x:v>
      </x:c>
      <x:c r="E34" s="4">
        <x:v>0.35</x:v>
      </x:c>
      <x:c r="F34" s="3" t="n">
        <x:f t="shared" ref="F34:F51" si="2">E34*3</x:f>
        <x:v>1.0499999999999998</x:v>
      </x:c>
      <x:c r="G34" s="3" t="n">
        <x:f t="shared" ref="G34:G51" si="3">E34*8</x:f>
        <x:v>2.8</x:v>
      </x:c>
      <x:c r="H34" s="5">
        <x:v>40</x:v>
      </x:c>
    </x:row>
    <x:row r="35">
      <x:c r="A35" s="2" t="s">
        <x:v>43</x:v>
      </x:c>
      <x:c r="B35" s="2" t="s">
        <x:v>15</x:v>
      </x:c>
      <x:c r="C35" s="3">
        <x:v>0</x:v>
      </x:c>
      <x:c r="D35" s="2"/>
      <x:c r="E35" s="3">
        <x:v>0</x:v>
      </x:c>
      <x:c r="F35" s="3">
        <x:f t="shared" si="2"/>
        <x:v>0</x:v>
      </x:c>
      <x:c r="G35" s="3">
        <x:f t="shared" si="3"/>
        <x:v>0</x:v>
      </x:c>
      <x:c r="H35" s="5">
        <x:v>40</x:v>
      </x:c>
    </x:row>
    <x:row r="36">
      <x:c r="A36" s="2" t="s">
        <x:v>43</x:v>
      </x:c>
      <x:c r="B36" s="2" t="s">
        <x:v>17</x:v>
      </x:c>
      <x:c r="C36" s="3">
        <x:v>0</x:v>
      </x:c>
      <x:c r="D36" s="2"/>
      <x:c r="E36" s="3">
        <x:v>0</x:v>
      </x:c>
      <x:c r="F36" s="3">
        <x:f t="shared" si="2"/>
        <x:v>0</x:v>
      </x:c>
      <x:c r="G36" s="3">
        <x:f t="shared" si="3"/>
        <x:v>0</x:v>
      </x:c>
      <x:c r="H36" s="5">
        <x:v>40</x:v>
      </x:c>
    </x:row>
    <x:row r="37">
      <x:c r="A37" s="2" t="s">
        <x:v>43</x:v>
      </x:c>
      <x:c r="B37" s="2" t="s">
        <x:v>19</x:v>
      </x:c>
      <x:c r="C37" s="3">
        <x:v>0</x:v>
      </x:c>
      <x:c r="D37" s="2"/>
      <x:c r="E37" s="3">
        <x:v>0</x:v>
      </x:c>
      <x:c r="F37" s="3">
        <x:f t="shared" si="2"/>
        <x:v>0</x:v>
      </x:c>
      <x:c r="G37" s="3">
        <x:f t="shared" si="3"/>
        <x:v>0</x:v>
      </x:c>
      <x:c r="H37" s="5">
        <x:v>40</x:v>
      </x:c>
    </x:row>
    <x:row r="38">
      <x:c r="A38" s="2" t="s">
        <x:v>43</x:v>
      </x:c>
      <x:c r="B38" s="2" t="s">
        <x:v>23</x:v>
      </x:c>
      <x:c r="C38" s="3">
        <x:v>0</x:v>
      </x:c>
      <x:c r="D38" s="2"/>
      <x:c r="E38" s="3">
        <x:v>0</x:v>
      </x:c>
      <x:c r="F38" s="3">
        <x:f t="shared" si="2"/>
        <x:v>0</x:v>
      </x:c>
      <x:c r="G38" s="3">
        <x:f t="shared" si="3"/>
        <x:v>0</x:v>
      </x:c>
      <x:c r="H38" s="5">
        <x:v>40</x:v>
      </x:c>
    </x:row>
    <x:row r="39">
      <x:c r="A39" s="2" t="s">
        <x:v>43</x:v>
      </x:c>
      <x:c r="B39" s="2" t="s">
        <x:v>26</x:v>
      </x:c>
      <x:c r="C39" s="3">
        <x:v>0</x:v>
      </x:c>
      <x:c r="D39" s="2"/>
      <x:c r="E39" s="3">
        <x:v>0</x:v>
      </x:c>
      <x:c r="F39" s="3">
        <x:f t="shared" si="2"/>
        <x:v>0</x:v>
      </x:c>
      <x:c r="G39" s="3">
        <x:f t="shared" si="3"/>
        <x:v>0</x:v>
      </x:c>
      <x:c r="H39" s="5">
        <x:v>40</x:v>
      </x:c>
    </x:row>
    <x:row r="40">
      <x:c r="A40" s="2" t="s">
        <x:v>43</x:v>
      </x:c>
      <x:c r="B40" s="2" t="s">
        <x:v>29</x:v>
      </x:c>
      <x:c r="C40" s="3">
        <x:v>0</x:v>
      </x:c>
      <x:c r="D40" s="2"/>
      <x:c r="E40" s="3">
        <x:v>0</x:v>
      </x:c>
      <x:c r="F40" s="3">
        <x:f t="shared" si="2"/>
        <x:v>0</x:v>
      </x:c>
      <x:c r="G40" s="3">
        <x:f t="shared" si="3"/>
        <x:v>0</x:v>
      </x:c>
      <x:c r="H40" s="5">
        <x:v>40</x:v>
      </x:c>
    </x:row>
    <x:row r="41">
      <x:c r="A41" s="2" t="s">
        <x:v>43</x:v>
      </x:c>
      <x:c r="B41" s="2" t="s">
        <x:v>31</x:v>
      </x:c>
      <x:c r="C41" s="3">
        <x:v>0</x:v>
      </x:c>
      <x:c r="D41" s="2"/>
      <x:c r="E41" s="3">
        <x:v>0</x:v>
      </x:c>
      <x:c r="F41" s="3">
        <x:f t="shared" si="2"/>
        <x:v>0</x:v>
      </x:c>
      <x:c r="G41" s="3">
        <x:f t="shared" si="3"/>
        <x:v>0</x:v>
      </x:c>
      <x:c r="H41" s="5">
        <x:v>40</x:v>
      </x:c>
    </x:row>
    <x:row r="42">
      <x:c r="A42" s="2" t="s">
        <x:v>45</x:v>
      </x:c>
      <x:c r="B42" s="2" t="s">
        <x:v>5</x:v>
      </x:c>
      <x:c r="C42" s="3">
        <x:v>0</x:v>
      </x:c>
      <x:c r="D42" s="2"/>
      <x:c r="E42" s="3">
        <x:v>0</x:v>
      </x:c>
      <x:c r="F42" s="3">
        <x:f t="shared" si="2"/>
        <x:v>0</x:v>
      </x:c>
      <x:c r="G42" s="3">
        <x:f t="shared" si="3"/>
        <x:v>0</x:v>
      </x:c>
      <x:c r="H42" s="5">
        <x:v>40</x:v>
      </x:c>
    </x:row>
    <x:row r="43">
      <x:c r="A43" s="2" t="s">
        <x:v>45</x:v>
      </x:c>
      <x:c r="B43" s="2" t="s">
        <x:v>9</x:v>
      </x:c>
      <x:c r="C43" s="3">
        <x:v>0</x:v>
      </x:c>
      <x:c r="D43" s="2"/>
      <x:c r="E43" s="3">
        <x:v>0</x:v>
      </x:c>
      <x:c r="F43" s="3">
        <x:f t="shared" si="2"/>
        <x:v>0</x:v>
      </x:c>
      <x:c r="G43" s="3">
        <x:f t="shared" si="3"/>
        <x:v>0</x:v>
      </x:c>
      <x:c r="H43" s="5">
        <x:v>40</x:v>
      </x:c>
    </x:row>
    <x:row r="44">
      <x:c r="A44" s="2" t="s">
        <x:v>45</x:v>
      </x:c>
      <x:c r="B44" s="2" t="s">
        <x:v>12</x:v>
      </x:c>
      <x:c r="C44" s="3">
        <x:v>0</x:v>
      </x:c>
      <x:c r="D44" s="2"/>
      <x:c r="E44" s="3">
        <x:v>0</x:v>
      </x:c>
      <x:c r="F44" s="3">
        <x:f t="shared" si="2"/>
        <x:v>0</x:v>
      </x:c>
      <x:c r="G44" s="3">
        <x:f t="shared" si="3"/>
        <x:v>0</x:v>
      </x:c>
      <x:c r="H44" s="5">
        <x:v>40</x:v>
      </x:c>
    </x:row>
    <x:row r="45">
      <x:c r="A45" s="2" t="s">
        <x:v>45</x:v>
      </x:c>
      <x:c r="B45" s="2" t="s">
        <x:v>15</x:v>
      </x:c>
      <x:c r="C45" s="3">
        <x:v>1</x:v>
      </x:c>
      <x:c r="D45" s="3">
        <x:v>2</x:v>
      </x:c>
      <x:c r="E45" s="4">
        <x:v>0.9</x:v>
      </x:c>
      <x:c r="F45" s="3">
        <x:f t="shared" si="2"/>
        <x:v>2.7</x:v>
      </x:c>
      <x:c r="G45" s="3">
        <x:f t="shared" si="3"/>
        <x:v>7.2</x:v>
      </x:c>
      <x:c r="H45" s="5">
        <x:v>40</x:v>
      </x:c>
    </x:row>
    <x:row r="46">
      <x:c r="A46" s="2" t="s">
        <x:v>45</x:v>
      </x:c>
      <x:c r="B46" s="2" t="s">
        <x:v>17</x:v>
      </x:c>
      <x:c r="C46" s="3">
        <x:v>1</x:v>
      </x:c>
      <x:c r="D46" s="3">
        <x:v>2</x:v>
      </x:c>
      <x:c r="E46" s="4">
        <x:v>1.1000000000000001</x:v>
      </x:c>
      <x:c r="F46" s="3">
        <x:f t="shared" si="2"/>
        <x:v>3.3000000000000003</x:v>
      </x:c>
      <x:c r="G46" s="3">
        <x:f t="shared" si="3"/>
        <x:v>8.8000000000000007</x:v>
      </x:c>
      <x:c r="H46" s="5">
        <x:v>40</x:v>
      </x:c>
    </x:row>
    <x:row r="47">
      <x:c r="A47" s="2" t="s">
        <x:v>45</x:v>
      </x:c>
      <x:c r="B47" s="2" t="s">
        <x:v>19</x:v>
      </x:c>
      <x:c r="C47" s="3">
        <x:v>1</x:v>
      </x:c>
      <x:c r="D47" s="3">
        <x:v>1</x:v>
      </x:c>
      <x:c r="E47" s="4">
        <x:v>1.6</x:v>
      </x:c>
      <x:c r="F47" s="3">
        <x:f t="shared" si="2"/>
        <x:v>4.8000000000000007</x:v>
      </x:c>
      <x:c r="G47" s="3">
        <x:f t="shared" si="3"/>
        <x:v>12.8</x:v>
      </x:c>
      <x:c r="H47" s="5">
        <x:v>40</x:v>
      </x:c>
    </x:row>
    <x:row r="48">
      <x:c r="A48" s="2" t="s">
        <x:v>45</x:v>
      </x:c>
      <x:c r="B48" s="2" t="s">
        <x:v>23</x:v>
      </x:c>
      <x:c r="C48" s="3">
        <x:v>1</x:v>
      </x:c>
      <x:c r="D48" s="3">
        <x:v>1</x:v>
      </x:c>
      <x:c r="E48" s="4">
        <x:v>1.1000000000000001</x:v>
      </x:c>
      <x:c r="F48" s="3">
        <x:f t="shared" si="2"/>
        <x:v>3.3000000000000003</x:v>
      </x:c>
      <x:c r="G48" s="3">
        <x:f t="shared" si="3"/>
        <x:v>8.8000000000000007</x:v>
      </x:c>
      <x:c r="H48" s="5">
        <x:v>40</x:v>
      </x:c>
    </x:row>
    <x:row r="49">
      <x:c r="A49" s="2" t="s">
        <x:v>45</x:v>
      </x:c>
      <x:c r="B49" s="2" t="s">
        <x:v>26</x:v>
      </x:c>
      <x:c r="C49" s="3">
        <x:v>0</x:v>
      </x:c>
      <x:c r="D49" s="2"/>
      <x:c r="E49" s="3">
        <x:v>0</x:v>
      </x:c>
      <x:c r="F49" s="3">
        <x:f t="shared" si="2"/>
        <x:v>0</x:v>
      </x:c>
      <x:c r="G49" s="3">
        <x:f t="shared" si="3"/>
        <x:v>0</x:v>
      </x:c>
      <x:c r="H49" s="5">
        <x:v>40</x:v>
      </x:c>
    </x:row>
    <x:row r="50">
      <x:c r="A50" s="2" t="s">
        <x:v>45</x:v>
      </x:c>
      <x:c r="B50" s="2" t="s">
        <x:v>29</x:v>
      </x:c>
      <x:c r="C50" s="3">
        <x:v>0</x:v>
      </x:c>
      <x:c r="D50" s="2"/>
      <x:c r="E50" s="3">
        <x:v>0</x:v>
      </x:c>
      <x:c r="F50" s="3">
        <x:f t="shared" si="2"/>
        <x:v>0</x:v>
      </x:c>
      <x:c r="G50" s="3">
        <x:f t="shared" si="3"/>
        <x:v>0</x:v>
      </x:c>
      <x:c r="H50" s="5">
        <x:v>40</x:v>
      </x:c>
    </x:row>
    <x:row r="51">
      <x:c r="A51" s="2" t="s">
        <x:v>45</x:v>
      </x:c>
      <x:c r="B51" s="2" t="s">
        <x:v>31</x:v>
      </x:c>
      <x:c r="C51" s="3">
        <x:v>1</x:v>
      </x:c>
      <x:c r="D51" s="3">
        <x:v>1</x:v>
      </x:c>
      <x:c r="E51" s="3">
        <x:v>1</x:v>
      </x:c>
      <x:c r="F51" s="3">
        <x:f t="shared" si="2"/>
        <x:v>3</x:v>
      </x:c>
      <x:c r="G51" s="3">
        <x:f t="shared" si="3"/>
        <x:v>8</x:v>
      </x:c>
      <x:c r="H51" s="5">
        <x:v>40</x:v>
      </x:c>
    </x:row>
  </x:sheetData>
  <x:pageMargins left="0.7" right="0.7" top="0.75" bottom="0.75" header="0.3" footer="0.3"/>
</x:worksheet>
</file>

<file path=xl/worksheets/sheet4.xml><?xml version="1.0" encoding="utf-8"?>
<x:worksheet xmlns:x="http://schemas.openxmlformats.org/spreadsheetml/2006/main">
  <x:sheetFormatPr defaultRowHeight="14.5"/>
  <x:cols>
    <x:col min="2" max="2" width="31" hidden="0" customWidth="1"/>
    <x:col min="1" max="1" width="14" hidden="0" customWidth="1"/>
    <x:col min="3" max="3" width="14" hidden="0" customWidth="1"/>
    <x:col min="4" max="4" width="17" hidden="0" customWidth="1"/>
    <x:col min="5" max="5" width="15" hidden="0" customWidth="1"/>
    <x:col min="6" max="6" width="20" hidden="0" customWidth="1"/>
    <x:col min="7" max="7" width="19" hidden="0" customWidth="1"/>
  </x:cols>
  <x:sheetData>
    <x:row r="1" ht="32" customHeight="1">
      <x:c r="A1" s="34" t="s">
        <x:v>0</x:v>
      </x:c>
      <x:c r="B1" s="34" t="s">
        <x:v>1</x:v>
      </x:c>
      <x:c r="C1" s="34" t="s">
        <x:v>53</x:v>
      </x:c>
      <x:c r="D1" s="34" t="s">
        <x:v>54</x:v>
      </x:c>
      <x:c r="E1" s="34" t="s">
        <x:v>55</x:v>
      </x:c>
      <x:c r="F1" s="35" t="s">
        <x:v>56</x:v>
      </x:c>
      <x:c r="G1" s="35" t="s">
        <x:v>57</x:v>
      </x:c>
    </x:row>
    <x:row r="2">
      <x:c r="A2" s="2" t="s">
        <x:v>5</x:v>
      </x:c>
      <x:c r="B2" s="2" t="s">
        <x:v>6</x:v>
      </x:c>
      <x:c r="C2" s="29">
        <x:v>23</x:v>
      </x:c>
      <x:c r="D2" s="3">
        <x:v>1</x:v>
      </x:c>
      <x:c r="E2" s="2" t="str">
        <x:v>SOFT</x:v>
      </x:c>
      <x:c r="F2" s="31">
        <x:v>0.8</x:v>
      </x:c>
      <x:c r="G2" s="33" t="n">
        <x:f t="shared" ref="G2:G11" si="0">IF(E2="HARD",C2,CEILING(C2*F2,settings!$B$4/1000))</x:f>
        <x:v>18.400000000000002</x:v>
      </x:c>
    </x:row>
    <x:row r="3">
      <x:c r="A3" s="2" t="s">
        <x:v>9</x:v>
      </x:c>
      <x:c r="B3" s="2" t="s">
        <x:v>10</x:v>
      </x:c>
      <x:c r="C3" s="29">
        <x:v>33.825000000000003</x:v>
      </x:c>
      <x:c r="D3" s="3">
        <x:v>1</x:v>
      </x:c>
      <x:c r="E3" s="2" t="s">
        <x:v>58</x:v>
      </x:c>
      <x:c r="F3" s="31">
        <x:v>0.8</x:v>
      </x:c>
      <x:c r="G3" s="33" t="n">
        <x:f t="shared" si="0">IF(E3="HARD",C3,CEILING(C3*F3,settings!$B$4/1000))</x:f>
        <x:v>27.060000000000002</x:v>
      </x:c>
    </x:row>
    <x:row r="4">
      <x:c r="A4" s="2" t="s">
        <x:v>12</x:v>
      </x:c>
      <x:c r="B4" s="2" t="s">
        <x:v>13</x:v>
      </x:c>
      <x:c r="C4" s="29">
        <x:v>30.332999999999998</x:v>
      </x:c>
      <x:c r="D4" s="3">
        <x:v>1</x:v>
      </x:c>
      <x:c r="E4" s="2" t="s">
        <x:v>58</x:v>
      </x:c>
      <x:c r="F4" s="31">
        <x:v>0.8</x:v>
      </x:c>
      <x:c r="G4" s="33" t="n">
        <x:f t="shared" si="0">IF(E4="HARD",C4,CEILING(C4*F4,settings!$B$4/1000))</x:f>
        <x:v>24.267</x:v>
      </x:c>
    </x:row>
    <x:row r="5">
      <x:c r="A5" s="2" t="s">
        <x:v>15</x:v>
      </x:c>
      <x:c r="B5" s="2" t="s">
        <x:v>16</x:v>
      </x:c>
      <x:c r="C5" s="29" t="n">
        <x:v>6.597</x:v>
      </x:c>
      <x:c r="D5" s="3">
        <x:v>1</x:v>
      </x:c>
      <x:c r="E5" s="2" t="s">
        <x:v>58</x:v>
      </x:c>
      <x:c r="F5" s="31">
        <x:v>0.8</x:v>
      </x:c>
      <x:c r="G5" s="33" t="n">
        <x:f t="shared" si="0">IF(E5="HARD",C5,CEILING(C5*F5,settings!$B$4/1000))</x:f>
        <x:v>5.2780000000000005</x:v>
      </x:c>
    </x:row>
    <x:row r="6">
      <x:c r="A6" s="2" t="s">
        <x:v>17</x:v>
      </x:c>
      <x:c r="B6" s="2" t="s">
        <x:v>18</x:v>
      </x:c>
      <x:c r="C6" s="29">
        <x:v>10.994999999999999</x:v>
      </x:c>
      <x:c r="D6" s="3">
        <x:v>1</x:v>
      </x:c>
      <x:c r="E6" s="2" t="s">
        <x:v>58</x:v>
      </x:c>
      <x:c r="F6" s="31">
        <x:v>0.8</x:v>
      </x:c>
      <x:c r="G6" s="33" t="n">
        <x:f t="shared" si="0">IF(E6="HARD",C6,CEILING(C6*F6,settings!$B$4/1000))</x:f>
        <x:v>8.796</x:v>
      </x:c>
    </x:row>
    <x:row r="7">
      <x:c r="A7" s="2" t="s">
        <x:v>19</x:v>
      </x:c>
      <x:c r="B7" s="2" t="s">
        <x:v>20</x:v>
      </x:c>
      <x:c r="C7" s="29">
        <x:v>24.533000000000001</x:v>
      </x:c>
      <x:c r="D7" s="3">
        <x:v>1</x:v>
      </x:c>
      <x:c r="E7" s="2" t="s">
        <x:v>58</x:v>
      </x:c>
      <x:c r="F7" s="31">
        <x:v>0.8</x:v>
      </x:c>
      <x:c r="G7" s="33" t="n">
        <x:f t="shared" si="0">IF(E7="HARD",C7,CEILING(C7*F7,settings!$B$4/1000))</x:f>
        <x:v>19.627</x:v>
      </x:c>
    </x:row>
    <x:row r="8">
      <x:c r="A8" s="2" t="s">
        <x:v>23</x:v>
      </x:c>
      <x:c r="B8" s="2" t="s">
        <x:v>24</x:v>
      </x:c>
      <x:c r="C8" s="29">
        <x:v>12.462999999999999</x:v>
      </x:c>
      <x:c r="D8" s="3">
        <x:v>1</x:v>
      </x:c>
      <x:c r="E8" s="2" t="s">
        <x:v>58</x:v>
      </x:c>
      <x:c r="F8" s="31">
        <x:v>0.8</x:v>
      </x:c>
      <x:c r="G8" s="33" t="n">
        <x:f t="shared" si="0">IF(E8="HARD",C8,CEILING(C8*F8,settings!$B$4/1000))</x:f>
        <x:v>9.971</x:v>
      </x:c>
    </x:row>
    <x:row r="9">
      <x:c r="A9" s="2" t="s">
        <x:v>26</x:v>
      </x:c>
      <x:c r="B9" s="2" t="s">
        <x:v>27</x:v>
      </x:c>
      <x:c r="C9" s="29">
        <x:v>34.799999999999997</x:v>
      </x:c>
      <x:c r="D9" s="3">
        <x:v>1</x:v>
      </x:c>
      <x:c r="E9" s="2" t="s">
        <x:v>58</x:v>
      </x:c>
      <x:c r="F9" s="31">
        <x:v>0.8</x:v>
      </x:c>
      <x:c r="G9" s="33" t="n">
        <x:f t="shared" si="0">IF(E9="HARD",C9,CEILING(C9*F9,settings!$B$4/1000))</x:f>
        <x:v>27.84</x:v>
      </x:c>
    </x:row>
    <x:row r="10">
      <x:c r="A10" s="2" t="s">
        <x:v>29</x:v>
      </x:c>
      <x:c r="B10" s="2" t="s">
        <x:v>30</x:v>
      </x:c>
      <x:c r="C10" s="29">
        <x:v>37.299999999999997</x:v>
      </x:c>
      <x:c r="D10" s="3">
        <x:v>1</x:v>
      </x:c>
      <x:c r="E10" s="2" t="s">
        <x:v>58</x:v>
      </x:c>
      <x:c r="F10" s="31">
        <x:v>0.8</x:v>
      </x:c>
      <x:c r="G10" s="33" t="n">
        <x:f t="shared" si="0">IF(E10="HARD",C10,CEILING(C10*F10,settings!$B$4/1000))</x:f>
        <x:v>29.84</x:v>
      </x:c>
    </x:row>
    <x:row r="11">
      <x:c r="A11" s="2" t="s">
        <x:v>31</x:v>
      </x:c>
      <x:c r="B11" s="2" t="s">
        <x:v>32</x:v>
      </x:c>
      <x:c r="C11" s="30">
        <x:v>7.3330000000000002</x:v>
      </x:c>
      <x:c r="D11" s="8">
        <x:v>1</x:v>
      </x:c>
      <x:c r="E11" s="9" t="s">
        <x:v>58</x:v>
      </x:c>
      <x:c r="F11" s="31">
        <x:v>0.8</x:v>
      </x:c>
      <x:c r="G11" s="33" t="n">
        <x:f t="shared" si="0">IF(E11="HARD",C11,CEILING(C11*F11,settings!$B$4/1000))</x:f>
        <x:v>5.867</x:v>
      </x:c>
    </x:row>
  </x:sheetData>
  <x:dataValidations count="2">
    <x:dataValidation type="list" sqref="E2:E11">
      <x:formula1>"SOFT,HARD"</x:formula1>
    </x:dataValidation>
    <x:dataValidation type="whole" operator="between" sqref="D2:D11">
      <x:formula1>1</x:formula1>
      <x:formula2>999</x:formula2>
    </x:dataValidation>
  </x:dataValidations>
  <x:pageMargins left="0.7" right="0.7" top="0.75" bottom="0.75" header="0.3" footer="0.3"/>
</x:worksheet>
</file>

<file path=xl/worksheets/sheet5.xml><?xml version="1.0" encoding="utf-8"?>
<x:worksheet xmlns:x="http://schemas.openxmlformats.org/spreadsheetml/2006/main">
  <x:sheetFormatPr defaultRowHeight="14.5"/>
  <x:sheetData>
    <x:row r="1" ht="26">
      <x:c r="A1" s="1" t="s">
        <x:v>33</x:v>
      </x:c>
      <x:c r="B1" s="1" t="s">
        <x:v>59</x:v>
      </x:c>
      <x:c r="C1" s="1" t="s">
        <x:v>60</x:v>
      </x:c>
      <x:c r="D1" s="1" t="s">
        <x:v>61</x:v>
      </x:c>
      <x:c r="E1" s="1" t="s">
        <x:v>62</x:v>
      </x:c>
      <x:c r="F1" s="1" t="s">
        <x:v>63</x:v>
      </x:c>
    </x:row>
    <x:row r="2">
      <x:c r="A2" s="2" t="s">
        <x:v>37</x:v>
      </x:c>
      <x:c r="B2" s="2" t="s">
        <x:v>64</x:v>
      </x:c>
      <x:c r="C2" s="3">
        <x:v>1</x:v>
      </x:c>
      <x:c r="D2" s="3">
        <x:v>1</x:v>
      </x:c>
      <x:c r="E2" s="3">
        <x:v>4</x:v>
      </x:c>
      <x:c r="F2" s="2" t="s">
        <x:v>65</x:v>
      </x:c>
    </x:row>
    <x:row r="3">
      <x:c r="A3" s="2" t="s">
        <x:v>37</x:v>
      </x:c>
      <x:c r="B3" s="2" t="s">
        <x:v>64</x:v>
      </x:c>
      <x:c r="C3" s="3">
        <x:v>2</x:v>
      </x:c>
      <x:c r="D3" s="3">
        <x:v>1</x:v>
      </x:c>
      <x:c r="E3" s="3">
        <x:v>4</x:v>
      </x:c>
      <x:c r="F3" s="2" t="s">
        <x:v>65</x:v>
      </x:c>
    </x:row>
    <x:row r="4">
      <x:c r="A4" s="2" t="s">
        <x:v>37</x:v>
      </x:c>
      <x:c r="B4" s="2" t="s">
        <x:v>66</x:v>
      </x:c>
      <x:c r="C4" s="3">
        <x:v>1</x:v>
      </x:c>
      <x:c r="D4" s="3">
        <x:v>1</x:v>
      </x:c>
      <x:c r="E4" s="3">
        <x:v>4</x:v>
      </x:c>
      <x:c r="F4" s="2" t="s">
        <x:v>65</x:v>
      </x:c>
    </x:row>
    <x:row r="5">
      <x:c r="A5" s="2" t="s">
        <x:v>37</x:v>
      </x:c>
      <x:c r="B5" s="2" t="s">
        <x:v>66</x:v>
      </x:c>
      <x:c r="C5" s="3">
        <x:v>2</x:v>
      </x:c>
      <x:c r="D5" s="3">
        <x:v>1</x:v>
      </x:c>
      <x:c r="E5" s="3">
        <x:v>4</x:v>
      </x:c>
      <x:c r="F5" s="2" t="s">
        <x:v>65</x:v>
      </x:c>
    </x:row>
    <x:row r="6">
      <x:c r="A6" s="2" t="s">
        <x:v>37</x:v>
      </x:c>
      <x:c r="B6" s="2" t="s">
        <x:v>67</x:v>
      </x:c>
      <x:c r="C6" s="3">
        <x:v>1</x:v>
      </x:c>
      <x:c r="D6" s="3">
        <x:v>1</x:v>
      </x:c>
      <x:c r="E6" s="3">
        <x:v>4</x:v>
      </x:c>
      <x:c r="F6" s="2" t="s">
        <x:v>65</x:v>
      </x:c>
    </x:row>
    <x:row r="7">
      <x:c r="A7" s="2" t="s">
        <x:v>37</x:v>
      </x:c>
      <x:c r="B7" s="2" t="s">
        <x:v>67</x:v>
      </x:c>
      <x:c r="C7" s="3">
        <x:v>2</x:v>
      </x:c>
      <x:c r="D7" s="3">
        <x:v>1</x:v>
      </x:c>
      <x:c r="E7" s="3">
        <x:v>4</x:v>
      </x:c>
      <x:c r="F7" s="2" t="s">
        <x:v>65</x:v>
      </x:c>
    </x:row>
    <x:row r="8">
      <x:c r="A8" s="2" t="s">
        <x:v>37</x:v>
      </x:c>
      <x:c r="B8" s="2" t="s">
        <x:v>68</x:v>
      </x:c>
      <x:c r="C8" s="3">
        <x:v>1</x:v>
      </x:c>
      <x:c r="D8" s="3">
        <x:v>1</x:v>
      </x:c>
      <x:c r="E8" s="3">
        <x:v>4</x:v>
      </x:c>
      <x:c r="F8" s="2" t="s">
        <x:v>65</x:v>
      </x:c>
    </x:row>
    <x:row r="9">
      <x:c r="A9" s="2" t="s">
        <x:v>37</x:v>
      </x:c>
      <x:c r="B9" s="2" t="s">
        <x:v>68</x:v>
      </x:c>
      <x:c r="C9" s="3">
        <x:v>2</x:v>
      </x:c>
      <x:c r="D9" s="3">
        <x:v>1</x:v>
      </x:c>
      <x:c r="E9" s="3">
        <x:v>4</x:v>
      </x:c>
      <x:c r="F9" s="2" t="s">
        <x:v>65</x:v>
      </x:c>
    </x:row>
    <x:row r="10">
      <x:c r="A10" s="2" t="s">
        <x:v>37</x:v>
      </x:c>
      <x:c r="B10" s="2" t="s">
        <x:v>69</x:v>
      </x:c>
      <x:c r="C10" s="3">
        <x:v>1</x:v>
      </x:c>
      <x:c r="D10" s="3">
        <x:v>1</x:v>
      </x:c>
      <x:c r="E10" s="3">
        <x:v>4</x:v>
      </x:c>
      <x:c r="F10" s="2" t="s">
        <x:v>65</x:v>
      </x:c>
    </x:row>
    <x:row r="11">
      <x:c r="A11" s="2" t="s">
        <x:v>37</x:v>
      </x:c>
      <x:c r="B11" s="2" t="s">
        <x:v>69</x:v>
      </x:c>
      <x:c r="C11" s="3">
        <x:v>2</x:v>
      </x:c>
      <x:c r="D11" s="3">
        <x:v>0</x:v>
      </x:c>
      <x:c r="E11" s="3">
        <x:v>0</x:v>
      </x:c>
      <x:c r="F11" s="2" t="s">
        <x:v>70</x:v>
      </x:c>
    </x:row>
    <x:row r="12">
      <x:c r="A12" s="2" t="s">
        <x:v>37</x:v>
      </x:c>
      <x:c r="B12" s="2" t="s">
        <x:v>71</x:v>
      </x:c>
      <x:c r="C12" s="3">
        <x:v>1</x:v>
      </x:c>
      <x:c r="D12" s="3">
        <x:v>1</x:v>
      </x:c>
      <x:c r="E12" s="3">
        <x:v>4</x:v>
      </x:c>
      <x:c r="F12" s="2" t="s">
        <x:v>65</x:v>
      </x:c>
    </x:row>
    <x:row r="13">
      <x:c r="A13" s="2" t="s">
        <x:v>37</x:v>
      </x:c>
      <x:c r="B13" s="2" t="s">
        <x:v>71</x:v>
      </x:c>
      <x:c r="C13" s="3">
        <x:v>2</x:v>
      </x:c>
      <x:c r="D13" s="3">
        <x:v>1</x:v>
      </x:c>
      <x:c r="E13" s="3">
        <x:v>4</x:v>
      </x:c>
      <x:c r="F13" s="2" t="s">
        <x:v>65</x:v>
      </x:c>
    </x:row>
    <x:row r="14">
      <x:c r="A14" s="2" t="s">
        <x:v>39</x:v>
      </x:c>
      <x:c r="B14" s="2" t="s">
        <x:v>64</x:v>
      </x:c>
      <x:c r="C14" s="3">
        <x:v>1</x:v>
      </x:c>
      <x:c r="D14" s="3">
        <x:v>1</x:v>
      </x:c>
      <x:c r="E14" s="3">
        <x:v>4</x:v>
      </x:c>
      <x:c r="F14" s="2" t="s">
        <x:v>65</x:v>
      </x:c>
    </x:row>
    <x:row r="15">
      <x:c r="A15" s="2" t="s">
        <x:v>39</x:v>
      </x:c>
      <x:c r="B15" s="2" t="s">
        <x:v>64</x:v>
      </x:c>
      <x:c r="C15" s="3">
        <x:v>2</x:v>
      </x:c>
      <x:c r="D15" s="3">
        <x:v>1</x:v>
      </x:c>
      <x:c r="E15" s="3">
        <x:v>4</x:v>
      </x:c>
      <x:c r="F15" s="2" t="s">
        <x:v>65</x:v>
      </x:c>
    </x:row>
    <x:row r="16">
      <x:c r="A16" s="2" t="s">
        <x:v>39</x:v>
      </x:c>
      <x:c r="B16" s="2" t="s">
        <x:v>66</x:v>
      </x:c>
      <x:c r="C16" s="3">
        <x:v>1</x:v>
      </x:c>
      <x:c r="D16" s="3">
        <x:v>1</x:v>
      </x:c>
      <x:c r="E16" s="3">
        <x:v>4</x:v>
      </x:c>
      <x:c r="F16" s="2" t="s">
        <x:v>65</x:v>
      </x:c>
    </x:row>
    <x:row r="17">
      <x:c r="A17" s="2" t="s">
        <x:v>39</x:v>
      </x:c>
      <x:c r="B17" s="2" t="s">
        <x:v>66</x:v>
      </x:c>
      <x:c r="C17" s="3">
        <x:v>2</x:v>
      </x:c>
      <x:c r="D17" s="3">
        <x:v>1</x:v>
      </x:c>
      <x:c r="E17" s="3">
        <x:v>4</x:v>
      </x:c>
      <x:c r="F17" s="2" t="s">
        <x:v>65</x:v>
      </x:c>
    </x:row>
    <x:row r="18">
      <x:c r="A18" s="2" t="s">
        <x:v>39</x:v>
      </x:c>
      <x:c r="B18" s="2" t="s">
        <x:v>67</x:v>
      </x:c>
      <x:c r="C18" s="3">
        <x:v>1</x:v>
      </x:c>
      <x:c r="D18" s="3">
        <x:v>1</x:v>
      </x:c>
      <x:c r="E18" s="3">
        <x:v>4</x:v>
      </x:c>
      <x:c r="F18" s="2" t="s">
        <x:v>65</x:v>
      </x:c>
    </x:row>
    <x:row r="19">
      <x:c r="A19" s="2" t="s">
        <x:v>39</x:v>
      </x:c>
      <x:c r="B19" s="2" t="s">
        <x:v>67</x:v>
      </x:c>
      <x:c r="C19" s="3">
        <x:v>2</x:v>
      </x:c>
      <x:c r="D19" s="3">
        <x:v>1</x:v>
      </x:c>
      <x:c r="E19" s="3">
        <x:v>4</x:v>
      </x:c>
      <x:c r="F19" s="2" t="s">
        <x:v>65</x:v>
      </x:c>
    </x:row>
    <x:row r="20">
      <x:c r="A20" s="2" t="s">
        <x:v>39</x:v>
      </x:c>
      <x:c r="B20" s="2" t="s">
        <x:v>68</x:v>
      </x:c>
      <x:c r="C20" s="3">
        <x:v>1</x:v>
      </x:c>
      <x:c r="D20" s="3">
        <x:v>1</x:v>
      </x:c>
      <x:c r="E20" s="3">
        <x:v>4</x:v>
      </x:c>
      <x:c r="F20" s="2" t="s">
        <x:v>65</x:v>
      </x:c>
    </x:row>
    <x:row r="21">
      <x:c r="A21" s="2" t="s">
        <x:v>39</x:v>
      </x:c>
      <x:c r="B21" s="2" t="s">
        <x:v>68</x:v>
      </x:c>
      <x:c r="C21" s="3">
        <x:v>2</x:v>
      </x:c>
      <x:c r="D21" s="3">
        <x:v>1</x:v>
      </x:c>
      <x:c r="E21" s="3">
        <x:v>4</x:v>
      </x:c>
      <x:c r="F21" s="2" t="s">
        <x:v>65</x:v>
      </x:c>
    </x:row>
    <x:row r="22">
      <x:c r="A22" s="2" t="s">
        <x:v>39</x:v>
      </x:c>
      <x:c r="B22" s="2" t="s">
        <x:v>69</x:v>
      </x:c>
      <x:c r="C22" s="3">
        <x:v>1</x:v>
      </x:c>
      <x:c r="D22" s="3">
        <x:v>1</x:v>
      </x:c>
      <x:c r="E22" s="3">
        <x:v>4</x:v>
      </x:c>
      <x:c r="F22" s="2" t="s">
        <x:v>65</x:v>
      </x:c>
    </x:row>
    <x:row r="23">
      <x:c r="A23" s="2" t="s">
        <x:v>39</x:v>
      </x:c>
      <x:c r="B23" s="2" t="s">
        <x:v>69</x:v>
      </x:c>
      <x:c r="C23" s="3">
        <x:v>2</x:v>
      </x:c>
      <x:c r="D23" s="3">
        <x:v>0</x:v>
      </x:c>
      <x:c r="E23" s="3">
        <x:v>0</x:v>
      </x:c>
      <x:c r="F23" s="2" t="s">
        <x:v>70</x:v>
      </x:c>
    </x:row>
    <x:row r="24">
      <x:c r="A24" s="2" t="s">
        <x:v>39</x:v>
      </x:c>
      <x:c r="B24" s="2" t="s">
        <x:v>71</x:v>
      </x:c>
      <x:c r="C24" s="3">
        <x:v>1</x:v>
      </x:c>
      <x:c r="D24" s="3">
        <x:v>1</x:v>
      </x:c>
      <x:c r="E24" s="3">
        <x:v>4</x:v>
      </x:c>
      <x:c r="F24" s="2" t="s">
        <x:v>65</x:v>
      </x:c>
    </x:row>
    <x:row r="25">
      <x:c r="A25" s="2" t="s">
        <x:v>39</x:v>
      </x:c>
      <x:c r="B25" s="2" t="s">
        <x:v>71</x:v>
      </x:c>
      <x:c r="C25" s="3">
        <x:v>2</x:v>
      </x:c>
      <x:c r="D25" s="3">
        <x:v>1</x:v>
      </x:c>
      <x:c r="E25" s="3">
        <x:v>4</x:v>
      </x:c>
      <x:c r="F25" s="2" t="s">
        <x:v>65</x:v>
      </x:c>
    </x:row>
    <x:row r="26">
      <x:c r="A26" s="2" t="s">
        <x:v>41</x:v>
      </x:c>
      <x:c r="B26" s="2" t="s">
        <x:v>64</x:v>
      </x:c>
      <x:c r="C26" s="3">
        <x:v>1</x:v>
      </x:c>
      <x:c r="D26" s="3">
        <x:v>1</x:v>
      </x:c>
      <x:c r="E26" s="3">
        <x:v>4</x:v>
      </x:c>
      <x:c r="F26" s="2" t="s">
        <x:v>65</x:v>
      </x:c>
    </x:row>
    <x:row r="27">
      <x:c r="A27" s="2" t="s">
        <x:v>41</x:v>
      </x:c>
      <x:c r="B27" s="2" t="s">
        <x:v>64</x:v>
      </x:c>
      <x:c r="C27" s="3">
        <x:v>2</x:v>
      </x:c>
      <x:c r="D27" s="3">
        <x:v>1</x:v>
      </x:c>
      <x:c r="E27" s="3">
        <x:v>4</x:v>
      </x:c>
      <x:c r="F27" s="2" t="s">
        <x:v>65</x:v>
      </x:c>
    </x:row>
    <x:row r="28">
      <x:c r="A28" s="2" t="s">
        <x:v>41</x:v>
      </x:c>
      <x:c r="B28" s="2" t="s">
        <x:v>66</x:v>
      </x:c>
      <x:c r="C28" s="3">
        <x:v>1</x:v>
      </x:c>
      <x:c r="D28" s="3">
        <x:v>1</x:v>
      </x:c>
      <x:c r="E28" s="3">
        <x:v>4</x:v>
      </x:c>
      <x:c r="F28" s="2" t="s">
        <x:v>65</x:v>
      </x:c>
    </x:row>
    <x:row r="29">
      <x:c r="A29" s="2" t="s">
        <x:v>41</x:v>
      </x:c>
      <x:c r="B29" s="2" t="s">
        <x:v>66</x:v>
      </x:c>
      <x:c r="C29" s="3">
        <x:v>2</x:v>
      </x:c>
      <x:c r="D29" s="3">
        <x:v>1</x:v>
      </x:c>
      <x:c r="E29" s="3">
        <x:v>4</x:v>
      </x:c>
      <x:c r="F29" s="2" t="s">
        <x:v>65</x:v>
      </x:c>
    </x:row>
    <x:row r="30">
      <x:c r="A30" s="2" t="s">
        <x:v>41</x:v>
      </x:c>
      <x:c r="B30" s="2" t="s">
        <x:v>67</x:v>
      </x:c>
      <x:c r="C30" s="3">
        <x:v>1</x:v>
      </x:c>
      <x:c r="D30" s="3">
        <x:v>1</x:v>
      </x:c>
      <x:c r="E30" s="3">
        <x:v>4</x:v>
      </x:c>
      <x:c r="F30" s="2" t="s">
        <x:v>65</x:v>
      </x:c>
    </x:row>
    <x:row r="31">
      <x:c r="A31" s="2" t="s">
        <x:v>41</x:v>
      </x:c>
      <x:c r="B31" s="2" t="s">
        <x:v>67</x:v>
      </x:c>
      <x:c r="C31" s="3">
        <x:v>2</x:v>
      </x:c>
      <x:c r="D31" s="3">
        <x:v>1</x:v>
      </x:c>
      <x:c r="E31" s="3">
        <x:v>4</x:v>
      </x:c>
      <x:c r="F31" s="2" t="s">
        <x:v>65</x:v>
      </x:c>
    </x:row>
    <x:row r="32">
      <x:c r="A32" s="2" t="s">
        <x:v>41</x:v>
      </x:c>
      <x:c r="B32" s="2" t="s">
        <x:v>68</x:v>
      </x:c>
      <x:c r="C32" s="3">
        <x:v>1</x:v>
      </x:c>
      <x:c r="D32" s="3">
        <x:v>1</x:v>
      </x:c>
      <x:c r="E32" s="3">
        <x:v>4</x:v>
      </x:c>
      <x:c r="F32" s="2" t="s">
        <x:v>65</x:v>
      </x:c>
    </x:row>
    <x:row r="33">
      <x:c r="A33" s="2" t="s">
        <x:v>41</x:v>
      </x:c>
      <x:c r="B33" s="2" t="s">
        <x:v>68</x:v>
      </x:c>
      <x:c r="C33" s="3">
        <x:v>2</x:v>
      </x:c>
      <x:c r="D33" s="3">
        <x:v>1</x:v>
      </x:c>
      <x:c r="E33" s="3">
        <x:v>4</x:v>
      </x:c>
      <x:c r="F33" s="2" t="s">
        <x:v>65</x:v>
      </x:c>
    </x:row>
    <x:row r="34">
      <x:c r="A34" s="2" t="s">
        <x:v>41</x:v>
      </x:c>
      <x:c r="B34" s="2" t="s">
        <x:v>69</x:v>
      </x:c>
      <x:c r="C34" s="3">
        <x:v>1</x:v>
      </x:c>
      <x:c r="D34" s="3">
        <x:v>1</x:v>
      </x:c>
      <x:c r="E34" s="3">
        <x:v>4</x:v>
      </x:c>
      <x:c r="F34" s="2" t="s">
        <x:v>65</x:v>
      </x:c>
    </x:row>
    <x:row r="35">
      <x:c r="A35" s="2" t="s">
        <x:v>41</x:v>
      </x:c>
      <x:c r="B35" s="2" t="s">
        <x:v>69</x:v>
      </x:c>
      <x:c r="C35" s="3">
        <x:v>2</x:v>
      </x:c>
      <x:c r="D35" s="3">
        <x:v>0</x:v>
      </x:c>
      <x:c r="E35" s="3">
        <x:v>0</x:v>
      </x:c>
      <x:c r="F35" s="2" t="s">
        <x:v>70</x:v>
      </x:c>
    </x:row>
    <x:row r="36">
      <x:c r="A36" s="2" t="s">
        <x:v>41</x:v>
      </x:c>
      <x:c r="B36" s="2" t="s">
        <x:v>71</x:v>
      </x:c>
      <x:c r="C36" s="3">
        <x:v>1</x:v>
      </x:c>
      <x:c r="D36" s="3">
        <x:v>1</x:v>
      </x:c>
      <x:c r="E36" s="3">
        <x:v>4</x:v>
      </x:c>
      <x:c r="F36" s="2" t="s">
        <x:v>65</x:v>
      </x:c>
    </x:row>
    <x:row r="37">
      <x:c r="A37" s="2" t="s">
        <x:v>41</x:v>
      </x:c>
      <x:c r="B37" s="2" t="s">
        <x:v>71</x:v>
      </x:c>
      <x:c r="C37" s="3">
        <x:v>2</x:v>
      </x:c>
      <x:c r="D37" s="3">
        <x:v>1</x:v>
      </x:c>
      <x:c r="E37" s="3">
        <x:v>4</x:v>
      </x:c>
      <x:c r="F37" s="2" t="s">
        <x:v>65</x:v>
      </x:c>
    </x:row>
    <x:row r="38">
      <x:c r="A38" s="2" t="s">
        <x:v>43</x:v>
      </x:c>
      <x:c r="B38" s="2" t="s">
        <x:v>64</x:v>
      </x:c>
      <x:c r="C38" s="3">
        <x:v>1</x:v>
      </x:c>
      <x:c r="D38" s="3">
        <x:v>1</x:v>
      </x:c>
      <x:c r="E38" s="3">
        <x:v>4</x:v>
      </x:c>
      <x:c r="F38" s="2" t="s">
        <x:v>65</x:v>
      </x:c>
    </x:row>
    <x:row r="39">
      <x:c r="A39" s="2" t="s">
        <x:v>43</x:v>
      </x:c>
      <x:c r="B39" s="2" t="s">
        <x:v>64</x:v>
      </x:c>
      <x:c r="C39" s="3">
        <x:v>2</x:v>
      </x:c>
      <x:c r="D39" s="3">
        <x:v>1</x:v>
      </x:c>
      <x:c r="E39" s="3">
        <x:v>4</x:v>
      </x:c>
      <x:c r="F39" s="2" t="s">
        <x:v>65</x:v>
      </x:c>
    </x:row>
    <x:row r="40">
      <x:c r="A40" s="2" t="s">
        <x:v>43</x:v>
      </x:c>
      <x:c r="B40" s="2" t="s">
        <x:v>66</x:v>
      </x:c>
      <x:c r="C40" s="3">
        <x:v>1</x:v>
      </x:c>
      <x:c r="D40" s="3">
        <x:v>1</x:v>
      </x:c>
      <x:c r="E40" s="3">
        <x:v>4</x:v>
      </x:c>
      <x:c r="F40" s="2" t="s">
        <x:v>65</x:v>
      </x:c>
    </x:row>
    <x:row r="41">
      <x:c r="A41" s="2" t="s">
        <x:v>43</x:v>
      </x:c>
      <x:c r="B41" s="2" t="s">
        <x:v>66</x:v>
      </x:c>
      <x:c r="C41" s="3">
        <x:v>2</x:v>
      </x:c>
      <x:c r="D41" s="3">
        <x:v>1</x:v>
      </x:c>
      <x:c r="E41" s="3">
        <x:v>4</x:v>
      </x:c>
      <x:c r="F41" s="2" t="s">
        <x:v>65</x:v>
      </x:c>
    </x:row>
    <x:row r="42">
      <x:c r="A42" s="2" t="s">
        <x:v>43</x:v>
      </x:c>
      <x:c r="B42" s="2" t="s">
        <x:v>67</x:v>
      </x:c>
      <x:c r="C42" s="3">
        <x:v>1</x:v>
      </x:c>
      <x:c r="D42" s="3">
        <x:v>1</x:v>
      </x:c>
      <x:c r="E42" s="3">
        <x:v>4</x:v>
      </x:c>
      <x:c r="F42" s="2" t="s">
        <x:v>65</x:v>
      </x:c>
    </x:row>
    <x:row r="43">
      <x:c r="A43" s="2" t="s">
        <x:v>43</x:v>
      </x:c>
      <x:c r="B43" s="2" t="s">
        <x:v>67</x:v>
      </x:c>
      <x:c r="C43" s="3">
        <x:v>2</x:v>
      </x:c>
      <x:c r="D43" s="3">
        <x:v>1</x:v>
      </x:c>
      <x:c r="E43" s="3">
        <x:v>4</x:v>
      </x:c>
      <x:c r="F43" s="2" t="s">
        <x:v>65</x:v>
      </x:c>
    </x:row>
    <x:row r="44">
      <x:c r="A44" s="2" t="s">
        <x:v>43</x:v>
      </x:c>
      <x:c r="B44" s="2" t="s">
        <x:v>68</x:v>
      </x:c>
      <x:c r="C44" s="3">
        <x:v>1</x:v>
      </x:c>
      <x:c r="D44" s="3">
        <x:v>1</x:v>
      </x:c>
      <x:c r="E44" s="3">
        <x:v>4</x:v>
      </x:c>
      <x:c r="F44" s="2" t="s">
        <x:v>65</x:v>
      </x:c>
    </x:row>
    <x:row r="45">
      <x:c r="A45" s="2" t="s">
        <x:v>43</x:v>
      </x:c>
      <x:c r="B45" s="2" t="s">
        <x:v>68</x:v>
      </x:c>
      <x:c r="C45" s="3">
        <x:v>2</x:v>
      </x:c>
      <x:c r="D45" s="3">
        <x:v>1</x:v>
      </x:c>
      <x:c r="E45" s="3">
        <x:v>4</x:v>
      </x:c>
      <x:c r="F45" s="2" t="s">
        <x:v>65</x:v>
      </x:c>
    </x:row>
    <x:row r="46">
      <x:c r="A46" s="2" t="s">
        <x:v>43</x:v>
      </x:c>
      <x:c r="B46" s="2" t="s">
        <x:v>69</x:v>
      </x:c>
      <x:c r="C46" s="3">
        <x:v>1</x:v>
      </x:c>
      <x:c r="D46" s="3">
        <x:v>1</x:v>
      </x:c>
      <x:c r="E46" s="3">
        <x:v>4</x:v>
      </x:c>
      <x:c r="F46" s="2" t="s">
        <x:v>65</x:v>
      </x:c>
    </x:row>
    <x:row r="47">
      <x:c r="A47" s="2" t="s">
        <x:v>43</x:v>
      </x:c>
      <x:c r="B47" s="2" t="s">
        <x:v>69</x:v>
      </x:c>
      <x:c r="C47" s="3">
        <x:v>2</x:v>
      </x:c>
      <x:c r="D47" s="3">
        <x:v>0</x:v>
      </x:c>
      <x:c r="E47" s="3">
        <x:v>0</x:v>
      </x:c>
      <x:c r="F47" s="2" t="s">
        <x:v>70</x:v>
      </x:c>
    </x:row>
    <x:row r="48">
      <x:c r="A48" s="2" t="s">
        <x:v>43</x:v>
      </x:c>
      <x:c r="B48" s="2" t="s">
        <x:v>71</x:v>
      </x:c>
      <x:c r="C48" s="3">
        <x:v>1</x:v>
      </x:c>
      <x:c r="D48" s="3">
        <x:v>1</x:v>
      </x:c>
      <x:c r="E48" s="3">
        <x:v>4</x:v>
      </x:c>
      <x:c r="F48" s="2" t="s">
        <x:v>65</x:v>
      </x:c>
    </x:row>
    <x:row r="49">
      <x:c r="A49" s="2" t="s">
        <x:v>43</x:v>
      </x:c>
      <x:c r="B49" s="2" t="s">
        <x:v>71</x:v>
      </x:c>
      <x:c r="C49" s="3">
        <x:v>2</x:v>
      </x:c>
      <x:c r="D49" s="3">
        <x:v>1</x:v>
      </x:c>
      <x:c r="E49" s="3">
        <x:v>4</x:v>
      </x:c>
      <x:c r="F49" s="2" t="s">
        <x:v>65</x:v>
      </x:c>
    </x:row>
    <x:row r="50">
      <x:c r="A50" s="2" t="s">
        <x:v>45</x:v>
      </x:c>
      <x:c r="B50" s="2" t="s">
        <x:v>64</x:v>
      </x:c>
      <x:c r="C50" s="3">
        <x:v>1</x:v>
      </x:c>
      <x:c r="D50" s="3">
        <x:v>1</x:v>
      </x:c>
      <x:c r="E50" s="3">
        <x:v>4</x:v>
      </x:c>
      <x:c r="F50" s="2" t="s">
        <x:v>65</x:v>
      </x:c>
    </x:row>
    <x:row r="51">
      <x:c r="A51" s="2" t="s">
        <x:v>45</x:v>
      </x:c>
      <x:c r="B51" s="2" t="s">
        <x:v>64</x:v>
      </x:c>
      <x:c r="C51" s="3">
        <x:v>2</x:v>
      </x:c>
      <x:c r="D51" s="3">
        <x:v>1</x:v>
      </x:c>
      <x:c r="E51" s="3">
        <x:v>4</x:v>
      </x:c>
      <x:c r="F51" s="2" t="s">
        <x:v>65</x:v>
      </x:c>
    </x:row>
    <x:row r="52">
      <x:c r="A52" s="2" t="s">
        <x:v>45</x:v>
      </x:c>
      <x:c r="B52" s="2" t="s">
        <x:v>66</x:v>
      </x:c>
      <x:c r="C52" s="3">
        <x:v>1</x:v>
      </x:c>
      <x:c r="D52" s="3">
        <x:v>1</x:v>
      </x:c>
      <x:c r="E52" s="3">
        <x:v>4</x:v>
      </x:c>
      <x:c r="F52" s="2" t="s">
        <x:v>65</x:v>
      </x:c>
    </x:row>
    <x:row r="53">
      <x:c r="A53" s="2" t="s">
        <x:v>45</x:v>
      </x:c>
      <x:c r="B53" s="2" t="s">
        <x:v>66</x:v>
      </x:c>
      <x:c r="C53" s="3">
        <x:v>2</x:v>
      </x:c>
      <x:c r="D53" s="3">
        <x:v>1</x:v>
      </x:c>
      <x:c r="E53" s="3">
        <x:v>4</x:v>
      </x:c>
      <x:c r="F53" s="2" t="s">
        <x:v>65</x:v>
      </x:c>
    </x:row>
    <x:row r="54">
      <x:c r="A54" s="2" t="s">
        <x:v>45</x:v>
      </x:c>
      <x:c r="B54" s="2" t="s">
        <x:v>67</x:v>
      </x:c>
      <x:c r="C54" s="3">
        <x:v>1</x:v>
      </x:c>
      <x:c r="D54" s="3">
        <x:v>1</x:v>
      </x:c>
      <x:c r="E54" s="3">
        <x:v>4</x:v>
      </x:c>
      <x:c r="F54" s="2" t="s">
        <x:v>65</x:v>
      </x:c>
    </x:row>
    <x:row r="55">
      <x:c r="A55" s="2" t="s">
        <x:v>45</x:v>
      </x:c>
      <x:c r="B55" s="2" t="s">
        <x:v>67</x:v>
      </x:c>
      <x:c r="C55" s="3">
        <x:v>2</x:v>
      </x:c>
      <x:c r="D55" s="3">
        <x:v>1</x:v>
      </x:c>
      <x:c r="E55" s="3">
        <x:v>4</x:v>
      </x:c>
      <x:c r="F55" s="2" t="s">
        <x:v>65</x:v>
      </x:c>
    </x:row>
    <x:row r="56">
      <x:c r="A56" s="2" t="s">
        <x:v>45</x:v>
      </x:c>
      <x:c r="B56" s="2" t="s">
        <x:v>68</x:v>
      </x:c>
      <x:c r="C56" s="3">
        <x:v>1</x:v>
      </x:c>
      <x:c r="D56" s="3">
        <x:v>1</x:v>
      </x:c>
      <x:c r="E56" s="3">
        <x:v>4</x:v>
      </x:c>
      <x:c r="F56" s="2" t="s">
        <x:v>65</x:v>
      </x:c>
    </x:row>
    <x:row r="57">
      <x:c r="A57" s="2" t="s">
        <x:v>45</x:v>
      </x:c>
      <x:c r="B57" s="2" t="s">
        <x:v>68</x:v>
      </x:c>
      <x:c r="C57" s="3">
        <x:v>2</x:v>
      </x:c>
      <x:c r="D57" s="3">
        <x:v>1</x:v>
      </x:c>
      <x:c r="E57" s="3">
        <x:v>4</x:v>
      </x:c>
      <x:c r="F57" s="2" t="s">
        <x:v>65</x:v>
      </x:c>
    </x:row>
    <x:row r="58">
      <x:c r="A58" s="2" t="s">
        <x:v>45</x:v>
      </x:c>
      <x:c r="B58" s="2" t="s">
        <x:v>69</x:v>
      </x:c>
      <x:c r="C58" s="3">
        <x:v>1</x:v>
      </x:c>
      <x:c r="D58" s="3">
        <x:v>1</x:v>
      </x:c>
      <x:c r="E58" s="3">
        <x:v>4</x:v>
      </x:c>
      <x:c r="F58" s="2" t="s">
        <x:v>65</x:v>
      </x:c>
    </x:row>
    <x:row r="59">
      <x:c r="A59" s="2" t="s">
        <x:v>45</x:v>
      </x:c>
      <x:c r="B59" s="2" t="s">
        <x:v>69</x:v>
      </x:c>
      <x:c r="C59" s="3">
        <x:v>2</x:v>
      </x:c>
      <x:c r="D59" s="3">
        <x:v>0</x:v>
      </x:c>
      <x:c r="E59" s="3">
        <x:v>0</x:v>
      </x:c>
      <x:c r="F59" s="2" t="s">
        <x:v>70</x:v>
      </x:c>
    </x:row>
    <x:row r="60">
      <x:c r="A60" s="2" t="s">
        <x:v>45</x:v>
      </x:c>
      <x:c r="B60" s="2" t="s">
        <x:v>71</x:v>
      </x:c>
      <x:c r="C60" s="3">
        <x:v>1</x:v>
      </x:c>
      <x:c r="D60" s="3">
        <x:v>1</x:v>
      </x:c>
      <x:c r="E60" s="3">
        <x:v>4</x:v>
      </x:c>
      <x:c r="F60" s="2" t="s">
        <x:v>65</x:v>
      </x:c>
    </x:row>
    <x:row r="61">
      <x:c r="A61" s="2" t="s">
        <x:v>45</x:v>
      </x:c>
      <x:c r="B61" s="2" t="s">
        <x:v>71</x:v>
      </x:c>
      <x:c r="C61" s="3">
        <x:v>2</x:v>
      </x:c>
      <x:c r="D61" s="3">
        <x:v>1</x:v>
      </x:c>
      <x:c r="E61" s="3">
        <x:v>4</x:v>
      </x:c>
      <x:c r="F61" s="2" t="s">
        <x:v>65</x:v>
      </x:c>
    </x:row>
  </x:sheetData>
  <x:pageMargins left="0.7" right="0.7" top="0.75" bottom="0.75" header="0.3" footer="0.3"/>
</x:worksheet>
</file>

<file path=xl/worksheets/sheet6.xml><?xml version="1.0" encoding="utf-8"?>
<x:worksheet xmlns:x="http://schemas.openxmlformats.org/spreadsheetml/2006/main">
  <x:sheetFormatPr defaultRowHeight="14.5"/>
  <x:sheetData>
    <x:row r="1" ht="26">
      <x:c r="A1" s="1" t="s">
        <x:v>72</x:v>
      </x:c>
      <x:c r="B1" s="1" t="s">
        <x:v>2</x:v>
      </x:c>
      <x:c r="C1" s="1" t="s">
        <x:v>73</x:v>
      </x:c>
      <x:c r="D1" s="1" t="s">
        <x:v>74</x:v>
      </x:c>
      <x:c r="E1" s="1" t="s">
        <x:v>75</x:v>
      </x:c>
      <x:c r="F1" s="1" t="s">
        <x:v>76</x:v>
      </x:c>
    </x:row>
    <x:row r="2">
      <x:c r="A2" s="2" t="s">
        <x:v>77</x:v>
      </x:c>
      <x:c r="B2" s="2" t="s">
        <x:v>7</x:v>
      </x:c>
      <x:c r="C2" s="2" t="s">
        <x:v>5</x:v>
      </x:c>
      <x:c r="D2" s="2" t="s">
        <x:v>9</x:v>
      </x:c>
      <x:c r="E2" s="2" t="s">
        <x:v>78</x:v>
      </x:c>
      <x:c r="F2" s="3">
        <x:v>1</x:v>
      </x:c>
    </x:row>
    <x:row r="3">
      <x:c r="A3" s="2" t="s">
        <x:v>79</x:v>
      </x:c>
      <x:c r="B3" s="2" t="s">
        <x:v>28</x:v>
      </x:c>
      <x:c r="C3" s="2" t="s">
        <x:v>29</x:v>
      </x:c>
      <x:c r="D3" s="2" t="s">
        <x:v>26</x:v>
      </x:c>
      <x:c r="E3" s="2" t="s">
        <x:v>78</x:v>
      </x:c>
      <x:c r="F3" s="3">
        <x:v>1</x:v>
      </x:c>
    </x:row>
    <x:row r="4">
      <x:c r="A4" s="2" t="s">
        <x:v>80</x:v>
      </x:c>
      <x:c r="B4" s="2" t="s">
        <x:v>14</x:v>
      </x:c>
      <x:c r="C4" s="2" t="s">
        <x:v>15</x:v>
      </x:c>
      <x:c r="D4" s="2" t="s">
        <x:v>17</x:v>
      </x:c>
      <x:c r="E4" s="2" t="s">
        <x:v>78</x:v>
      </x:c>
      <x:c r="F4" s="3">
        <x:v>1</x:v>
      </x:c>
    </x:row>
  </x:sheetData>
  <x:pageMargins left="0.7" right="0.7" top="0.75" bottom="0.75" header="0.3" footer="0.3"/>
</x:worksheet>
</file>

<file path=xl/worksheets/sheet7.xml><?xml version="1.0" encoding="utf-8"?>
<x:worksheet xmlns:x="http://schemas.openxmlformats.org/spreadsheetml/2006/main">
  <x:sheetFormatPr defaultRowHeight="14.5"/>
  <x:sheetData>
    <x:row r="1" ht="39">
      <x:c r="A1" s="1" t="s">
        <x:v>72</x:v>
      </x:c>
      <x:c r="B1" s="1" t="s">
        <x:v>75</x:v>
      </x:c>
      <x:c r="C1" s="1" t="s">
        <x:v>81</x:v>
      </x:c>
      <x:c r="D1" s="1" t="s">
        <x:v>82</x:v>
      </x:c>
      <x:c r="E1" s="1" t="s">
        <x:v>76</x:v>
      </x:c>
      <x:c r="F1" s="1" t="s">
        <x:v>83</x:v>
      </x:c>
    </x:row>
    <x:row r="2" ht="409.5">
      <x:c r="A2" s="2" t="s">
        <x:v>84</x:v>
      </x:c>
      <x:c r="B2" s="2" t="s">
        <x:v>85</x:v>
      </x:c>
      <x:c r="C2" s="3">
        <x:v>1</x:v>
      </x:c>
      <x:c r="D2" s="3">
        <x:v>1</x:v>
      </x:c>
      <x:c r="E2" s="3">
        <x:v>1</x:v>
      </x:c>
      <x:c r="F2" s="10" t="s">
        <x:v>86</x:v>
      </x:c>
    </x:row>
  </x:sheetData>
  <x:pageMargins left="0.7" right="0.7" top="0.75" bottom="0.75" header="0.3" footer="0.3"/>
</x:worksheet>
</file>

<file path=xl/worksheets/sheet8.xml><?xml version="1.0" encoding="utf-8"?>
<x:worksheet xmlns:x="http://schemas.openxmlformats.org/spreadsheetml/2006/main">
  <x:sheetFormatPr defaultRowHeight="14.5"/>
  <x:cols>
    <x:col min="7" max="7" width="100" hidden="0" customWidth="1"/>
    <x:col min="1" max="1" width="13" hidden="0" customWidth="1"/>
    <x:col min="2" max="2" width="23" hidden="0" customWidth="1"/>
    <x:col min="3" max="3" width="23" hidden="0" customWidth="1"/>
    <x:col min="4" max="4" width="24" hidden="0" customWidth="1"/>
    <x:col min="5" max="5" width="26" hidden="0" customWidth="1"/>
    <x:col min="6" max="6" width="10" hidden="0" customWidth="1"/>
    <x:col min="8" max="8" width="34" hidden="0" customWidth="1"/>
  </x:cols>
  <x:sheetData>
    <x:row r="1" ht="34" customHeight="1">
      <x:c r="A1" s="34" t="s">
        <x:v>72</x:v>
      </x:c>
      <x:c r="B1" s="34" t="s">
        <x:v>75</x:v>
      </x:c>
      <x:c r="C1" s="34" t="s">
        <x:v>87</x:v>
      </x:c>
      <x:c r="D1" s="34" t="s">
        <x:v>88</x:v>
      </x:c>
      <x:c r="E1" s="34" t="s">
        <x:v>89</x:v>
      </x:c>
      <x:c r="F1" s="34" t="s">
        <x:v>76</x:v>
      </x:c>
      <x:c r="G1" s="34" t="s">
        <x:v>83</x:v>
      </x:c>
      <x:c r="H1" s="34" t="s">
        <x:v>90</x:v>
      </x:c>
    </x:row>
    <x:row r="2" ht="44" customHeight="1">
      <x:c r="A2" s="9" t="s">
        <x:v>91</x:v>
      </x:c>
      <x:c r="B2" s="9" t="s">
        <x:v>92</x:v>
      </x:c>
      <x:c r="C2" s="8">
        <x:v>1</x:v>
      </x:c>
      <x:c r="D2" s="8">
        <x:v>1</x:v>
      </x:c>
      <x:c r="E2" s="8">
        <x:v>1</x:v>
      </x:c>
      <x:c r="F2" s="8">
        <x:v>0</x:v>
      </x:c>
      <x:c r="G2" s="36" t="str">
        <x:v>Hard=1 veya Allow_Split_If_Required=0 ise makine sınırı zorunlu. Diğer durumda Preferred_Max_Machines üstü, ilgili amaç etkinse azaltılır.</x:v>
      </x:c>
      <x:c r="H2" s="9" t="s">
        <x:v>93</x:v>
      </x:c>
    </x:row>
    <x:row r="3" ht="44" customHeight="1">
      <x:c r="A3" s="9" t="s">
        <x:v>94</x:v>
      </x:c>
      <x:c r="B3" s="9" t="s">
        <x:v>95</x:v>
      </x:c>
      <x:c r="C3" s="8">
        <x:v>1</x:v>
      </x:c>
      <x:c r="D3" s="8">
        <x:v>1</x:v>
      </x:c>
      <x:c r="E3" s="8">
        <x:v>1</x:v>
      </x:c>
      <x:c r="F3" s="8">
        <x:v>0</x:v>
      </x:c>
      <x:c r="G3" s="36" t="str">
        <x:v>Ailede kullanılan farklı makine sayısı için aynı politika. Tercih, objectives sırasındaki aile amacı etkinse uygulanır.</x:v>
      </x:c>
      <x:c r="H3" s="9" t="s">
        <x:v>96</x:v>
      </x:c>
    </x:row>
  </x:sheetData>
  <x:pageMargins left="0.7" right="0.7" top="0.75" bottom="0.75" header="0.3" footer="0.3"/>
</x:worksheet>
</file>

<file path=xl/worksheets/sheet9.xml><?xml version="1.0" encoding="utf-8"?>
<x:worksheet xmlns:x="http://schemas.openxmlformats.org/spreadsheetml/2006/main">
  <x:sheetFormatPr defaultRowHeight="14.5"/>
  <x:sheetData>
    <x:row r="1" ht="26">
      <x:c r="A1" s="1" t="s">
        <x:v>33</x:v>
      </x:c>
      <x:c r="B1" s="1" t="s">
        <x:v>97</x:v>
      </x:c>
      <x:c r="C1" s="1" t="s">
        <x:v>98</x:v>
      </x:c>
      <x:c r="D1" s="1" t="s">
        <x:v>99</x:v>
      </x:c>
    </x:row>
    <x:row r="2">
      <x:c r="A2" s="2" t="s">
        <x:v>37</x:v>
      </x:c>
      <x:c r="B2" s="2"/>
      <x:c r="C2" s="3">
        <x:v>0</x:v>
      </x:c>
      <x:c r="D2" s="3">
        <x:v>0</x:v>
      </x:c>
    </x:row>
    <x:row r="3">
      <x:c r="A3" s="2" t="s">
        <x:v>39</x:v>
      </x:c>
      <x:c r="B3" s="2"/>
      <x:c r="C3" s="3">
        <x:v>0</x:v>
      </x:c>
      <x:c r="D3" s="3">
        <x:v>0</x:v>
      </x:c>
    </x:row>
    <x:row r="4">
      <x:c r="A4" s="2" t="s">
        <x:v>41</x:v>
      </x:c>
      <x:c r="B4" s="2"/>
      <x:c r="C4" s="3">
        <x:v>0</x:v>
      </x:c>
      <x:c r="D4" s="3">
        <x:v>0</x:v>
      </x:c>
    </x:row>
    <x:row r="5">
      <x:c r="A5" s="2" t="s">
        <x:v>43</x:v>
      </x:c>
      <x:c r="B5" s="2"/>
      <x:c r="C5" s="3">
        <x:v>0</x:v>
      </x:c>
      <x:c r="D5" s="3">
        <x:v>0</x:v>
      </x:c>
    </x:row>
    <x:row r="6">
      <x:c r="A6" s="2" t="s">
        <x:v>45</x:v>
      </x:c>
      <x:c r="B6" s="2"/>
      <x:c r="C6" s="3">
        <x:v>0</x:v>
      </x:c>
      <x:c r="D6" s="3">
        <x:v>0</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4.5"/>
  <x:cols>
    <x:col min="1" max="1" width="10" hidden="0" customWidth="1"/>
    <x:col min="2" max="2" width="34" hidden="0" customWidth="1"/>
    <x:col min="3" max="3" width="12" hidden="0" customWidth="1"/>
    <x:col min="4" max="4" width="12" hidden="0" customWidth="1"/>
    <x:col min="5" max="5" width="108" hidden="0" customWidth="1"/>
    <x:col min="6" max="6" width="18" hidden="0" customWidth="1"/>
  </x:cols>
  <x:sheetData>
    <x:row r="1" ht="30" customHeight="1">
      <x:c r="A1" s="22" t="str">
        <x:v>Priority</x:v>
      </x:c>
      <x:c r="B1" s="22" t="str">
        <x:v>Objective_ID</x:v>
      </x:c>
      <x:c r="C1" s="22" t="str">
        <x:v>Direction</x:v>
      </x:c>
      <x:c r="D1" s="22" t="str">
        <x:v>Enabled</x:v>
      </x:c>
      <x:c r="E1" s="22" t="str">
        <x:v>Description</x:v>
      </x:c>
      <x:c r="F1" s="22" t="str">
        <x:v>TimeLimit_sec</x:v>
      </x:c>
    </x:row>
    <x:row r="2" ht="36" customHeight="1">
      <x:c r="A2" s="28" t="n">
        <x:v>1</x:v>
      </x:c>
      <x:c r="B2" s="19" t="str">
        <x:v>MIN_CHANGEOVERS</x:v>
      </x:c>
      <x:c r="C2" s="19" t="str">
        <x:v>MIN</x:v>
      </x:c>
      <x:c r="D2" s="28" t="n">
        <x:v>1</x:v>
      </x:c>
      <x:c r="E2" s="27" t="str">
        <x:v>Önce, her ürünün zorunlu minimumu sağlanırken makine ürün değişimlerini azalt.</x:v>
      </x:c>
      <x:c r="F2" s="28"/>
    </x:row>
    <x:row r="3" ht="36" customHeight="1">
      <x:c r="A3" s="28" t="n">
        <x:v>2</x:v>
      </x:c>
      <x:c r="B3" s="19" t="str">
        <x:v>MIN_UNMET</x:v>
      </x:c>
      <x:c r="C3" s="19" t="str">
        <x:v>MIN</x:v>
      </x:c>
      <x:c r="D3" s="28" t="n">
        <x:v>1</x:v>
      </x:c>
      <x:c r="E3" s="27" t="str">
        <x:v>Sonra TargetPriority küçükten büyüğe; aynı öncelikte toplam eksik kg'ı azalt. HARD hedefler her koşulda tamdır.</x:v>
      </x:c>
      <x:c r="F3" s="28"/>
    </x:row>
    <x:row r="4" ht="36" customHeight="1">
      <x:c r="A4" s="28" t="n">
        <x:v>3</x:v>
      </x:c>
      <x:c r="B4" s="19" t="str">
        <x:v>MIN_TOTAL_PREPARATION</x:v>
      </x:c>
      <x:c r="C4" s="19" t="str">
        <x:v>MIN</x:v>
      </x:c>
      <x:c r="D4" s="28" t="n">
        <x:v>1</x:v>
      </x:c>
      <x:c r="E4" s="27" t="str">
        <x:v>Toplam hazırlık dakikalarını azalt; önceki tamamlanmış hazırlığı tekrar sayma.</x:v>
      </x:c>
      <x:c r="F4" s="28"/>
    </x:row>
    <x:row r="5" ht="36" customHeight="1">
      <x:c r="A5" s="28" t="n">
        <x:v>4</x:v>
      </x:c>
      <x:c r="B5" s="19" t="str">
        <x:v>MIN_PRODUCT_MACHINE_SPLITS</x:v>
      </x:c>
      <x:c r="C5" s="19" t="str">
        <x:v>MIN</x:v>
      </x:c>
      <x:c r="D5" s="28" t="n">
        <x:v>1</x:v>
      </x:c>
      <x:c r="E5" s="27" t="str">
        <x:v>allocation_rules.ALL_PRODUCTS tercih sınırını aşan makine sayılarını azalt.</x:v>
      </x:c>
      <x:c r="F5" s="28"/>
    </x:row>
    <x:row r="6" ht="36" customHeight="1">
      <x:c r="A6" s="28" t="n">
        <x:v>5</x:v>
      </x:c>
      <x:c r="B6" s="19" t="str">
        <x:v>MIN_FAMILY_MACHINE_SPLITS</x:v>
      </x:c>
      <x:c r="C6" s="19" t="str">
        <x:v>MIN</x:v>
      </x:c>
      <x:c r="D6" s="28" t="n">
        <x:v>1</x:v>
      </x:c>
      <x:c r="E6" s="27" t="str">
        <x:v>allocation_rules.ALL_FAMILIES tercih sınırını aşan makine sayılarını azalt.</x:v>
      </x:c>
      <x:c r="F6" s="28"/>
    </x:row>
    <x:row r="7" ht="36" customHeight="1">
      <x:c r="A7" s="28" t="n">
        <x:v>6</x:v>
      </x:c>
      <x:c r="B7" s="19" t="str">
        <x:v>MIN_MACHINE_PRIORITY_COST</x:v>
      </x:c>
      <x:c r="C7" s="19" t="str">
        <x:v>MIN</x:v>
      </x:c>
      <x:c r="D7" s="28" t="n">
        <x:v>1</x:v>
      </x:c>
      <x:c r="E7" s="27" t="str">
        <x:v>Son eşitlik çözümü: MachinePriority ve machines.Priority ile hesaplanan ağırlıklı atama maliyetini azalt.</x:v>
      </x:c>
      <x:c r="F7" s="28"/>
    </x:row>
    <x:row r="8">
      <x:c r="A8"/>
      <x:c r="B8"/>
      <x:c r="C8"/>
      <x:c r="D8"/>
      <x:c r="E8"/>
    </x:row>
  </x:sheetData>
  <x:dataValidations count="1">
    <x:dataValidation type="list" sqref="D2:D7">
      <x:formula1>"0,1"</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4.5"/>
  <x:cols>
    <x:col min="1" max="1" width="31" hidden="0" customWidth="1"/>
    <x:col min="2" max="2" width="24" hidden="0" customWidth="1"/>
    <x:col min="3" max="3" width="112" hidden="0" customWidth="1"/>
  </x:cols>
  <x:sheetData>
    <x:row r="1" ht="28" customHeight="1">
      <x:c r="A1" s="22" t="str">
        <x:v>Parameter</x:v>
      </x:c>
      <x:c r="B1" s="22" t="str">
        <x:v>Value</x:v>
      </x:c>
      <x:c r="C1" s="22" t="str">
        <x:v>Description</x:v>
      </x:c>
    </x:row>
    <x:row r="2" ht="42" customHeight="1">
      <x:c r="A2" s="23" t="str">
        <x:v>SchemaVersion</x:v>
      </x:c>
      <x:c r="B2" s="25" t="str">
        <x:v>6.4</x:v>
      </x:c>
      <x:c r="C2" s="24" t="str">
        <x:v>Giriş şeması. Bu sürüm yalnızca 6.4 destekler.</x:v>
      </x:c>
    </x:row>
    <x:row r="3" ht="42" customHeight="1">
      <x:c r="A3" s="23" t="str">
        <x:v>QuantityUnit</x:v>
      </x:c>
      <x:c r="B3" s="25" t="str">
        <x:v>t</x:v>
      </x:c>
      <x:c r="C3" s="24" t="str">
        <x:v>Tüm _t alanları ton, Capacity_tph ton/saat, hazırlık süreleri dakika.</x:v>
      </x:c>
    </x:row>
    <x:row r="4" ht="42" customHeight="1">
      <x:c r="A4" s="23" t="str">
        <x:v>QuantityStep_kg</x:v>
      </x:c>
      <x:c r="B4" s="25" t="n">
        <x:v>1</x:v>
      </x:c>
      <x:c r="C4" s="24" t="str">
        <x:v>Üretim miktarının kg cinsinden adımı. Hedefler bu adımın katı olmalıdır.</x:v>
      </x:c>
    </x:row>
    <x:row r="5" ht="42" customHeight="1">
      <x:c r="A5" s="23" t="str">
        <x:v>DefaultPreparationMin</x:v>
      </x:c>
      <x:c r="B5" s="25" t="n">
        <x:v>40</x:v>
      </x:c>
      <x:c r="C5" s="24" t="str">
        <x:v>Preparation_min boş ise kullanılan hazırlık süresi, dakika.</x:v>
      </x:c>
    </x:row>
    <x:row r="6" ht="42" customHeight="1">
      <x:c r="A6" s="23" t="str">
        <x:v>AllowFinalRunBelowMinimum</x:v>
      </x:c>
      <x:c r="B6" s="25" t="n">
        <x:v>1</x:v>
      </x:c>
      <x:c r="C6" s="24" t="str">
        <x:v>1: yalnız hedefi tamamlayan son run için minimum miktar istisnası.</x:v>
      </x:c>
    </x:row>
    <x:row r="7" ht="42" customHeight="1">
      <x:c r="A7" s="23" t="str">
        <x:v>AllowSurplusProduction</x:v>
      </x:c>
      <x:c r="B7" s="25" t="n">
        <x:v>0</x:v>
      </x:c>
      <x:c r="C7" s="24" t="str">
        <x:v>Fazla üretim yasak. Bu sürümde yalnız 0 desteklenir.</x:v>
      </x:c>
    </x:row>
    <x:row r="8" ht="42" customHeight="1">
      <x:c r="A8" s="23" t="str">
        <x:v>PreventProductReturn</x:v>
      </x:c>
      <x:c r="B8" s="25" t="n">
        <x:v>1</x:v>
      </x:c>
      <x:c r="C8" s="24" t="str">
        <x:v>Makinede A-B-A yasak; boş/kapalı vardiya ürün durumunu sıfırlamaz. Yalnız 1 desteklenir.</x:v>
      </x:c>
    </x:row>
    <x:row r="9" ht="42" customHeight="1">
      <x:c r="A9" s="23" t="str">
        <x:v>Solver</x:v>
      </x:c>
      <x:c r="B9" s="25" t="str">
        <x:v>CP_SAT</x:v>
      </x:c>
      <x:c r="C9" s="24" t="str">
        <x:v>Kullanılan çözücü. Yalnız CP_SAT desteklenir.</x:v>
      </x:c>
    </x:row>
    <x:row r="10" ht="42" customHeight="1">
      <x:c r="A10" s="23" t="str">
        <x:v>TotalTimeLimitSec</x:v>
      </x:c>
      <x:c r="B10" s="25" t="n">
        <x:v>240</x:v>
      </x:c>
      <x:c r="C10" s="24" t="str">
        <x:v>Tüm CP-SAT aşamaları için toplam çözüm süresi bütçesi, saniye; Excel I/O hariç.</x:v>
      </x:c>
    </x:row>
    <x:row r="11" ht="42" customHeight="1">
      <x:c r="A11" s="23" t="str">
        <x:v>StageTimeLimitSec</x:v>
      </x:c>
      <x:c r="B11" s="25" t="n">
        <x:v>45</x:v>
      </x:c>
      <x:c r="C11" s="24" t="str">
        <x:v>objectives.TimeLimit_sec boşsa her gerçek çözüm aşamasının süre sınırı, saniye.</x:v>
      </x:c>
    </x:row>
    <x:row r="12" ht="42" customHeight="1">
      <x:c r="A12" s="23" t="str">
        <x:v>NumSearchWorkers</x:v>
      </x:c>
      <x:c r="B12" s="25" t="n">
        <x:v>1</x:v>
      </x:c>
      <x:c r="C12" s="24" t="str">
        <x:v>CP-SAT çalışan sayısı. Tekrarlanabilir karşılaştırma için 1 önerilir.</x:v>
      </x:c>
    </x:row>
    <x:row r="13" ht="42" customHeight="1">
      <x:c r="A13" s="23" t="str">
        <x:v>RandomSeed</x:v>
      </x:c>
      <x:c r="B13" s="25" t="n">
        <x:v>20261008</x:v>
      </x:c>
      <x:c r="C13" s="24" t="str">
        <x:v>Rastgelelik tohumu. Aynı sürüm/ortam ve 1 çalışan ile karşılaştırma yapılabilir.</x:v>
      </x:c>
    </x:row>
    <x:row r="14" ht="42" customHeight="1">
      <x:c r="A14" s="23" t="str">
        <x:v>LogSearchProgress</x:v>
      </x:c>
      <x:c r="B14" s="25" t="n">
        <x:v>0</x:v>
      </x:c>
      <x:c r="C14" s="24" t="str">
        <x:v>1: ayrıntılı CP-SAT arama günlüğünü konsola yaz.</x:v>
      </x:c>
    </x:row>
    <x:row r="15" ht="42" customHeight="1">
      <x:c r="A15" s="23" t="str">
        <x:v>StageCompletionPolicy</x:v>
      </x:c>
      <x:c r="B15" s="25" t="str">
        <x:v>ACCEPT_FEASIBLE</x:v>
      </x:c>
      <x:c r="C15" s="24" t="str">
        <x:v>ACCEPT_FEASIBLE: süre dolunca bulunan en iyiyi sabitle ve kanıtlanmadığını raporla. REQUIRE_OPTIMAL: kanıt gelmezse alt aşamalara geçme.</x:v>
      </x:c>
    </x:row>
    <x:row r="16" ht="42" customHeight="1">
      <x:c r="A16" s="23" t="str">
        <x:v>InputValidation</x:v>
      </x:c>
      <x:c r="B16" s="25" t="str">
        <x:v>STRICT</x:v>
      </x:c>
      <x:c r="C16" s="24" t="str">
        <x:v>Şema, kimlik, referans, sayı ve kural çelişkilerini kontrol et. Yalnız STRICT desteklenir.</x:v>
      </x:c>
    </x:row>
    <x:row r="17" ht="42" customHeight="1">
      <x:c r="A17" s="23" t="str">
        <x:v>UnknownParameterPolicy</x:v>
      </x:c>
      <x:c r="B17" s="25" t="str">
        <x:v>ERROR</x:v>
      </x:c>
      <x:c r="C17" s="24" t="str">
        <x:v>Desteklenmeyen alan, ayar, amaç veya kapsam açık hata verir. Yalnız ERROR desteklenir.</x:v>
      </x:c>
    </x:row>
    <x:row r="18" ht="42" customHeight="1">
      <x:c r="A18" s="23" t="str">
        <x:v>TargetWarningCapacityFactor</x:v>
      </x:c>
      <x:c r="B18" s="25" t="n">
        <x:v>5</x:v>
      </x:c>
      <x:c r="C18" s="24" t="str">
        <x:v>Hedef iyimser ürün kapasitesinin bu katını aşarsa birim/ölçek uyarısı ver; hedefi değiştirme.</x:v>
      </x:c>
    </x:row>
    <x:row r="19" ht="15" customHeight="1">
      <x:c r="A19"/>
      <x:c r="B19"/>
      <x:c r="C19"/>
    </x:row>
    <x:row r="20" ht="15" customHeight="1">
      <x:c r="A20"/>
      <x:c r="B20"/>
      <x:c r="C20"/>
    </x:row>
    <x:row r="21" ht="15" customHeight="1">
      <x:c r="A21"/>
      <x:c r="B21"/>
      <x:c r="C21"/>
    </x:row>
    <x:row r="22" ht="15" customHeight="1">
      <x:c r="A22"/>
      <x:c r="B22"/>
      <x:c r="C22"/>
    </x:row>
    <x:row r="23" ht="15" customHeight="1">
      <x:c r="A23"/>
      <x:c r="B23"/>
      <x:c r="C23"/>
    </x:row>
    <x:row r="24" ht="15" customHeight="1">
      <x:c r="A24"/>
      <x:c r="B24"/>
      <x:c r="C24"/>
    </x:row>
    <x:row r="25" ht="15" customHeight="1">
      <x:c r="A25"/>
      <x:c r="B25"/>
      <x:c r="C25"/>
    </x:row>
    <x:row r="26" ht="15" customHeight="1">
      <x:c r="A26"/>
      <x:c r="B26"/>
      <x:c r="C26"/>
    </x:row>
    <x:row r="27" ht="15" customHeight="1">
      <x:c r="A27"/>
      <x:c r="B27"/>
      <x:c r="C27"/>
    </x:row>
    <x:row r="28" ht="15" customHeight="1">
      <x:c r="A28"/>
      <x:c r="B28"/>
      <x:c r="C28"/>
    </x:row>
    <x:row r="29" ht="15" customHeight="1">
      <x:c r="A29"/>
      <x:c r="B29"/>
      <x:c r="C29"/>
    </x:row>
  </x:sheetData>
  <x:pageMargins left="0.7" right="0.7" top="0.75" bottom="0.75" header="0.3" footer="0.3"/>
</x:worksheet>
</file>